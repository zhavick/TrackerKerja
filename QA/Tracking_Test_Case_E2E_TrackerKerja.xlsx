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Metrics" sheetId="1" state="visible" r:id="rId1"/>
    <sheet xmlns:r="http://schemas.openxmlformats.org/officeDocument/2006/relationships" name="E2E Test Cases Master" sheetId="2" state="visible" r:id="rId2"/>
    <sheet xmlns:r="http://schemas.openxmlformats.org/officeDocument/2006/relationships" name="Execution Cycles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1E3A8A"/>
      <sz val="18"/>
    </font>
    <font>
      <name val="Calibri"/>
      <b val="1"/>
      <color rgb="0015803D"/>
      <sz val="18"/>
    </font>
    <font>
      <name val="Calibri"/>
      <b val="1"/>
      <color rgb="00B91C1C"/>
      <sz val="18"/>
    </font>
    <font>
      <name val="Calibri"/>
      <b val="1"/>
      <color rgb="001D4ED8"/>
      <sz val="18"/>
    </font>
    <font>
      <name val="Calibri"/>
      <b val="1"/>
      <color rgb="00B45309"/>
      <sz val="18"/>
    </font>
    <font>
      <name val="Calibri"/>
      <b val="1"/>
      <color rgb="000F172A"/>
      <sz val="16"/>
    </font>
    <font>
      <name val="Calibri"/>
      <b val="1"/>
      <color rgb="0015803D"/>
      <sz val="16"/>
    </font>
    <font>
      <name val="Calibri"/>
      <b val="1"/>
      <color rgb="001E293B"/>
      <sz val="12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3" fillId="2" borderId="0" applyAlignment="1" pivotButton="0" quotePrefix="0" xfId="0">
      <alignment horizontal="left" vertical="center" wrapText="1"/>
    </xf>
    <xf numFmtId="164" fontId="1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  <dxf>
      <font>
        <b val="1"/>
        <color rgb="001E40AF"/>
      </font>
      <fill>
        <patternFill patternType="solid">
          <fgColor rgb="00DBEAFE"/>
          <bgColor rgb="00DBEAFE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1" t="inlineStr">
        <is>
          <t>WORK TRACKER PRO (TRACKERKERJA) v3.7 - QA E2E TEST TRACKING DASHBOARD</t>
        </is>
      </c>
    </row>
    <row r="2"/>
    <row r="4">
      <c r="A4" s="2" t="inlineStr">
        <is>
          <t>Nama Aplikasi</t>
        </is>
      </c>
      <c r="B4" s="3" t="inlineStr">
        <is>
          <t>Work Tracker Pro (TrackerKerja)</t>
        </is>
      </c>
      <c r="G4" s="2" t="inlineStr">
        <is>
          <t>Target Platform</t>
        </is>
      </c>
      <c r="H4" s="3" t="inlineStr">
        <is>
          <t>Web ASP.NET Core 8.0 &amp; Docker Container</t>
        </is>
      </c>
    </row>
    <row r="5">
      <c r="A5" s="2" t="inlineStr">
        <is>
          <t>Versi Sistem</t>
        </is>
      </c>
      <c r="B5" s="3" t="inlineStr">
        <is>
          <t>v3.7 Enterprise Edition</t>
        </is>
      </c>
      <c r="G5" s="2" t="inlineStr">
        <is>
          <t>Basis Data</t>
        </is>
      </c>
      <c r="H5" s="3" t="inlineStr">
        <is>
          <t>SQLite Engine (EF Core 8.0)</t>
        </is>
      </c>
    </row>
    <row r="6">
      <c r="A6" s="2" t="inlineStr">
        <is>
          <t>QA Lead / PIC</t>
        </is>
      </c>
      <c r="B6" s="3" t="inlineStr">
        <is>
          <t>QA Engineering Team</t>
        </is>
      </c>
      <c r="G6" s="2" t="inlineStr">
        <is>
          <t>Terakhir Diperbarui</t>
        </is>
      </c>
      <c r="H6" s="3" t="inlineStr">
        <is>
          <t>Oktober 2026</t>
        </is>
      </c>
    </row>
    <row r="7">
      <c r="A7" s="2" t="inlineStr">
        <is>
          <t>Cakupan Uji</t>
        </is>
      </c>
      <c r="B7" s="3" t="inlineStr">
        <is>
          <t>19 Modul (Web MVC, REST API, ClosedXML, Docker)</t>
        </is>
      </c>
      <c r="G7" s="2" t="inlineStr">
        <is>
          <t>Metodologi</t>
        </is>
      </c>
      <c r="H7" s="3" t="inlineStr">
        <is>
          <t>Manual UI, Postman API &amp; E2E Flow</t>
        </is>
      </c>
    </row>
    <row r="9">
      <c r="A9" s="4" t="inlineStr">
        <is>
          <t>TOTAL TEST CASES</t>
        </is>
      </c>
      <c r="B9" s="5" t="n"/>
      <c r="C9" s="4" t="inlineStr">
        <is>
          <t>PASSED</t>
        </is>
      </c>
      <c r="D9" s="5" t="n"/>
      <c r="E9" s="4" t="inlineStr">
        <is>
          <t>FAILED</t>
        </is>
      </c>
      <c r="F9" s="5" t="n"/>
      <c r="G9" s="4" t="inlineStr">
        <is>
          <t>IN PROGRESS</t>
        </is>
      </c>
      <c r="H9" s="5" t="n"/>
      <c r="I9" s="4" t="inlineStr">
        <is>
          <t>BLOCKED</t>
        </is>
      </c>
      <c r="J9" s="4" t="inlineStr">
        <is>
          <t>COMPLETION %</t>
        </is>
      </c>
      <c r="K9" s="4" t="inlineStr">
        <is>
          <t>PASS RATE %</t>
        </is>
      </c>
    </row>
    <row r="10">
      <c r="A10" s="6">
        <f>COUNTA('E2E Test Cases Master'!A4:A150)</f>
        <v/>
      </c>
      <c r="B10" s="5" t="n"/>
      <c r="C10" s="7">
        <f>COUNTIF('E2E Test Cases Master'!I4:I150, "Passed")</f>
        <v/>
      </c>
      <c r="D10" s="5" t="n"/>
      <c r="E10" s="8">
        <f>COUNTIF('E2E Test Cases Master'!I4:I150, "Failed")</f>
        <v/>
      </c>
      <c r="F10" s="5" t="n"/>
      <c r="G10" s="9">
        <f>COUNTIF('E2E Test Cases Master'!I4:I150, "In Progress")</f>
        <v/>
      </c>
      <c r="H10" s="5" t="n"/>
      <c r="I10" s="10">
        <f>COUNTIF('E2E Test Cases Master'!I4:I150, "Blocked")</f>
        <v/>
      </c>
      <c r="J10" s="11">
        <f>IF(A10&gt;0, (C10+E10+I10)/A10, 0)</f>
        <v/>
      </c>
      <c r="K10" s="12">
        <f>IF((C10+E10)&gt;0, C10/(C10+E10), 0)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3">
      <c r="A13" s="13" t="inlineStr">
        <is>
          <t>RINGKASAN STATUS PENGUJIAN PER MODUL APLIKASI</t>
        </is>
      </c>
    </row>
    <row r="14">
      <c r="A14" s="14" t="inlineStr">
        <is>
          <t>No</t>
        </is>
      </c>
      <c r="B14" s="14" t="inlineStr">
        <is>
          <t>Modul Aplikasi</t>
        </is>
      </c>
      <c r="C14" s="14" t="inlineStr">
        <is>
          <t>Total TC</t>
        </is>
      </c>
      <c r="D14" s="14" t="inlineStr">
        <is>
          <t>Passed</t>
        </is>
      </c>
      <c r="E14" s="14" t="inlineStr">
        <is>
          <t>Failed</t>
        </is>
      </c>
      <c r="F14" s="14" t="inlineStr">
        <is>
          <t>In Progress</t>
        </is>
      </c>
      <c r="G14" s="14" t="inlineStr">
        <is>
          <t>Blocked</t>
        </is>
      </c>
      <c r="H14" s="14" t="inlineStr">
        <is>
          <t>Ready / Draft</t>
        </is>
      </c>
      <c r="I14" s="14" t="inlineStr">
        <is>
          <t>Progress %</t>
        </is>
      </c>
      <c r="J14" s="14" t="inlineStr">
        <is>
          <t>Pass Rate %</t>
        </is>
      </c>
      <c r="K14" s="14" t="inlineStr">
        <is>
          <t>QA PIC</t>
        </is>
      </c>
    </row>
    <row r="15">
      <c r="A15" s="15" t="n">
        <v>1</v>
      </c>
      <c r="B15" s="16" t="inlineStr">
        <is>
          <t>Autentikasi &amp; Akun</t>
        </is>
      </c>
      <c r="C15" s="15">
        <f>COUNTIF('E2E Test Cases Master'!B$4:B$150, "Autentikasi &amp; Akun")</f>
        <v/>
      </c>
      <c r="D15" s="15">
        <f>COUNTIFS('E2E Test Cases Master'!B$4:B$150, "Autentikasi &amp; Akun", 'E2E Test Cases Master'!I$4:I$150, "Passed")</f>
        <v/>
      </c>
      <c r="E15" s="15">
        <f>COUNTIFS('E2E Test Cases Master'!B$4:B$150, "Autentikasi &amp; Akun", 'E2E Test Cases Master'!I$4:I$150, "Failed")</f>
        <v/>
      </c>
      <c r="F15" s="15">
        <f>COUNTIFS('E2E Test Cases Master'!B$4:B$150, "Autentikasi &amp; Akun", 'E2E Test Cases Master'!I$4:I$150, "In Progress")</f>
        <v/>
      </c>
      <c r="G15" s="15">
        <f>COUNTIFS('E2E Test Cases Master'!B$4:B$150, "Autentikasi &amp; Akun", 'E2E Test Cases Master'!I$4:I$150, "Blocked")</f>
        <v/>
      </c>
      <c r="H15" s="15">
        <f>COUNTIFS('E2E Test Cases Master'!B$4:B$150, "Autentikasi &amp; Akun", 'E2E Test Cases Master'!I$4:I$150, "Ready") + COUNTIFS('E2E Test Cases Master'!B$4:B$150, "Autentikasi &amp; Akun", 'E2E Test Cases Master'!I$4:I$150, "Draft")</f>
        <v/>
      </c>
      <c r="I15" s="17">
        <f>IF(C15&gt;0, (D15+E15+G15)/C15, 0)</f>
        <v/>
      </c>
      <c r="J15" s="17">
        <f>IF((D15+E15)&gt;0, D15/(D15+E15), 0)</f>
        <v/>
      </c>
      <c r="K15" s="15" t="inlineStr">
        <is>
          <t>QA Engineer A</t>
        </is>
      </c>
    </row>
    <row r="16">
      <c r="A16" s="18" t="n">
        <v>2</v>
      </c>
      <c r="B16" s="19" t="inlineStr">
        <is>
          <t>Multi-Company &amp; Isolation</t>
        </is>
      </c>
      <c r="C16" s="18">
        <f>COUNTIF('E2E Test Cases Master'!B$4:B$150, "Multi-Company &amp; Isolation")</f>
        <v/>
      </c>
      <c r="D16" s="18">
        <f>COUNTIFS('E2E Test Cases Master'!B$4:B$150, "Multi-Company &amp; Isolation", 'E2E Test Cases Master'!I$4:I$150, "Passed")</f>
        <v/>
      </c>
      <c r="E16" s="18">
        <f>COUNTIFS('E2E Test Cases Master'!B$4:B$150, "Multi-Company &amp; Isolation", 'E2E Test Cases Master'!I$4:I$150, "Failed")</f>
        <v/>
      </c>
      <c r="F16" s="18">
        <f>COUNTIFS('E2E Test Cases Master'!B$4:B$150, "Multi-Company &amp; Isolation", 'E2E Test Cases Master'!I$4:I$150, "In Progress")</f>
        <v/>
      </c>
      <c r="G16" s="18">
        <f>COUNTIFS('E2E Test Cases Master'!B$4:B$150, "Multi-Company &amp; Isolation", 'E2E Test Cases Master'!I$4:I$150, "Blocked")</f>
        <v/>
      </c>
      <c r="H16" s="18">
        <f>COUNTIFS('E2E Test Cases Master'!B$4:B$150, "Multi-Company &amp; Isolation", 'E2E Test Cases Master'!I$4:I$150, "Ready") + COUNTIFS('E2E Test Cases Master'!B$4:B$150, "Multi-Company &amp; Isolation", 'E2E Test Cases Master'!I$4:I$150, "Draft")</f>
        <v/>
      </c>
      <c r="I16" s="20">
        <f>IF(C16&gt;0, (D16+E16+G16)/C16, 0)</f>
        <v/>
      </c>
      <c r="J16" s="20">
        <f>IF((D16+E16)&gt;0, D16/(D16+E16), 0)</f>
        <v/>
      </c>
      <c r="K16" s="18" t="inlineStr">
        <is>
          <t>QA Engineer A</t>
        </is>
      </c>
    </row>
    <row r="17">
      <c r="A17" s="15" t="n">
        <v>3</v>
      </c>
      <c r="B17" s="16" t="inlineStr">
        <is>
          <t>Manajemen Proyek &amp; Kategori</t>
        </is>
      </c>
      <c r="C17" s="15">
        <f>COUNTIF('E2E Test Cases Master'!B$4:B$150, "Manajemen Proyek &amp; Kategori")</f>
        <v/>
      </c>
      <c r="D17" s="15">
        <f>COUNTIFS('E2E Test Cases Master'!B$4:B$150, "Manajemen Proyek &amp; Kategori", 'E2E Test Cases Master'!I$4:I$150, "Passed")</f>
        <v/>
      </c>
      <c r="E17" s="15">
        <f>COUNTIFS('E2E Test Cases Master'!B$4:B$150, "Manajemen Proyek &amp; Kategori", 'E2E Test Cases Master'!I$4:I$150, "Failed")</f>
        <v/>
      </c>
      <c r="F17" s="15">
        <f>COUNTIFS('E2E Test Cases Master'!B$4:B$150, "Manajemen Proyek &amp; Kategori", 'E2E Test Cases Master'!I$4:I$150, "In Progress")</f>
        <v/>
      </c>
      <c r="G17" s="15">
        <f>COUNTIFS('E2E Test Cases Master'!B$4:B$150, "Manajemen Proyek &amp; Kategori", 'E2E Test Cases Master'!I$4:I$150, "Blocked")</f>
        <v/>
      </c>
      <c r="H17" s="15">
        <f>COUNTIFS('E2E Test Cases Master'!B$4:B$150, "Manajemen Proyek &amp; Kategori", 'E2E Test Cases Master'!I$4:I$150, "Ready") + COUNTIFS('E2E Test Cases Master'!B$4:B$150, "Manajemen Proyek &amp; Kategori", 'E2E Test Cases Master'!I$4:I$150, "Draft")</f>
        <v/>
      </c>
      <c r="I17" s="17">
        <f>IF(C17&gt;0, (D17+E17+G17)/C17, 0)</f>
        <v/>
      </c>
      <c r="J17" s="17">
        <f>IF((D17+E17)&gt;0, D17/(D17+E17), 0)</f>
        <v/>
      </c>
      <c r="K17" s="15" t="inlineStr">
        <is>
          <t>QA Engineer B</t>
        </is>
      </c>
    </row>
    <row r="18">
      <c r="A18" s="18" t="n">
        <v>4</v>
      </c>
      <c r="B18" s="19" t="inlineStr">
        <is>
          <t>Manajemen Tugas &amp; Parenting</t>
        </is>
      </c>
      <c r="C18" s="18">
        <f>COUNTIF('E2E Test Cases Master'!B$4:B$150, "Manajemen Tugas &amp; Parenting")</f>
        <v/>
      </c>
      <c r="D18" s="18">
        <f>COUNTIFS('E2E Test Cases Master'!B$4:B$150, "Manajemen Tugas &amp; Parenting", 'E2E Test Cases Master'!I$4:I$150, "Passed")</f>
        <v/>
      </c>
      <c r="E18" s="18">
        <f>COUNTIFS('E2E Test Cases Master'!B$4:B$150, "Manajemen Tugas &amp; Parenting", 'E2E Test Cases Master'!I$4:I$150, "Failed")</f>
        <v/>
      </c>
      <c r="F18" s="18">
        <f>COUNTIFS('E2E Test Cases Master'!B$4:B$150, "Manajemen Tugas &amp; Parenting", 'E2E Test Cases Master'!I$4:I$150, "In Progress")</f>
        <v/>
      </c>
      <c r="G18" s="18">
        <f>COUNTIFS('E2E Test Cases Master'!B$4:B$150, "Manajemen Tugas &amp; Parenting", 'E2E Test Cases Master'!I$4:I$150, "Blocked")</f>
        <v/>
      </c>
      <c r="H18" s="18">
        <f>COUNTIFS('E2E Test Cases Master'!B$4:B$150, "Manajemen Tugas &amp; Parenting", 'E2E Test Cases Master'!I$4:I$150, "Ready") + COUNTIFS('E2E Test Cases Master'!B$4:B$150, "Manajemen Tugas &amp; Parenting", 'E2E Test Cases Master'!I$4:I$150, "Draft")</f>
        <v/>
      </c>
      <c r="I18" s="20">
        <f>IF(C18&gt;0, (D18+E18+G18)/C18, 0)</f>
        <v/>
      </c>
      <c r="J18" s="20">
        <f>IF((D18+E18)&gt;0, D18/(D18+E18), 0)</f>
        <v/>
      </c>
      <c r="K18" s="18" t="inlineStr">
        <is>
          <t>QA Engineer B</t>
        </is>
      </c>
    </row>
    <row r="19">
      <c r="A19" s="15" t="n">
        <v>5</v>
      </c>
      <c r="B19" s="16" t="inlineStr">
        <is>
          <t>Kanban Board Interaktif</t>
        </is>
      </c>
      <c r="C19" s="15">
        <f>COUNTIF('E2E Test Cases Master'!B$4:B$150, "Kanban Board Interaktif")</f>
        <v/>
      </c>
      <c r="D19" s="15">
        <f>COUNTIFS('E2E Test Cases Master'!B$4:B$150, "Kanban Board Interaktif", 'E2E Test Cases Master'!I$4:I$150, "Passed")</f>
        <v/>
      </c>
      <c r="E19" s="15">
        <f>COUNTIFS('E2E Test Cases Master'!B$4:B$150, "Kanban Board Interaktif", 'E2E Test Cases Master'!I$4:I$150, "Failed")</f>
        <v/>
      </c>
      <c r="F19" s="15">
        <f>COUNTIFS('E2E Test Cases Master'!B$4:B$150, "Kanban Board Interaktif", 'E2E Test Cases Master'!I$4:I$150, "In Progress")</f>
        <v/>
      </c>
      <c r="G19" s="15">
        <f>COUNTIFS('E2E Test Cases Master'!B$4:B$150, "Kanban Board Interaktif", 'E2E Test Cases Master'!I$4:I$150, "Blocked")</f>
        <v/>
      </c>
      <c r="H19" s="15">
        <f>COUNTIFS('E2E Test Cases Master'!B$4:B$150, "Kanban Board Interaktif", 'E2E Test Cases Master'!I$4:I$150, "Ready") + COUNTIFS('E2E Test Cases Master'!B$4:B$150, "Kanban Board Interaktif", 'E2E Test Cases Master'!I$4:I$150, "Draft")</f>
        <v/>
      </c>
      <c r="I19" s="17">
        <f>IF(C19&gt;0, (D19+E19+G19)/C19, 0)</f>
        <v/>
      </c>
      <c r="J19" s="17">
        <f>IF((D19+E19)&gt;0, D19/(D19+E19), 0)</f>
        <v/>
      </c>
      <c r="K19" s="15" t="inlineStr">
        <is>
          <t>QA Engineer B</t>
        </is>
      </c>
    </row>
    <row r="20">
      <c r="A20" s="18" t="n">
        <v>6</v>
      </c>
      <c r="B20" s="19" t="inlineStr">
        <is>
          <t>Timesheet &amp; Multi-Timer</t>
        </is>
      </c>
      <c r="C20" s="18">
        <f>COUNTIF('E2E Test Cases Master'!B$4:B$150, "Timesheet &amp; Multi-Timer")</f>
        <v/>
      </c>
      <c r="D20" s="18">
        <f>COUNTIFS('E2E Test Cases Master'!B$4:B$150, "Timesheet &amp; Multi-Timer", 'E2E Test Cases Master'!I$4:I$150, "Passed")</f>
        <v/>
      </c>
      <c r="E20" s="18">
        <f>COUNTIFS('E2E Test Cases Master'!B$4:B$150, "Timesheet &amp; Multi-Timer", 'E2E Test Cases Master'!I$4:I$150, "Failed")</f>
        <v/>
      </c>
      <c r="F20" s="18">
        <f>COUNTIFS('E2E Test Cases Master'!B$4:B$150, "Timesheet &amp; Multi-Timer", 'E2E Test Cases Master'!I$4:I$150, "In Progress")</f>
        <v/>
      </c>
      <c r="G20" s="18">
        <f>COUNTIFS('E2E Test Cases Master'!B$4:B$150, "Timesheet &amp; Multi-Timer", 'E2E Test Cases Master'!I$4:I$150, "Blocked")</f>
        <v/>
      </c>
      <c r="H20" s="18">
        <f>COUNTIFS('E2E Test Cases Master'!B$4:B$150, "Timesheet &amp; Multi-Timer", 'E2E Test Cases Master'!I$4:I$150, "Ready") + COUNTIFS('E2E Test Cases Master'!B$4:B$150, "Timesheet &amp; Multi-Timer", 'E2E Test Cases Master'!I$4:I$150, "Draft")</f>
        <v/>
      </c>
      <c r="I20" s="20">
        <f>IF(C20&gt;0, (D20+E20+G20)/C20, 0)</f>
        <v/>
      </c>
      <c r="J20" s="20">
        <f>IF((D20+E20)&gt;0, D20/(D20+E20), 0)</f>
        <v/>
      </c>
      <c r="K20" s="18" t="inlineStr">
        <is>
          <t>QA Engineer C</t>
        </is>
      </c>
    </row>
    <row r="21">
      <c r="A21" s="15" t="n">
        <v>7</v>
      </c>
      <c r="B21" s="16" t="inlineStr">
        <is>
          <t>Presensi &amp; Rekonsiliasi Absensi</t>
        </is>
      </c>
      <c r="C21" s="15">
        <f>COUNTIF('E2E Test Cases Master'!B$4:B$150, "Presensi &amp; Rekonsiliasi Absensi")</f>
        <v/>
      </c>
      <c r="D21" s="15">
        <f>COUNTIFS('E2E Test Cases Master'!B$4:B$150, "Presensi &amp; Rekonsiliasi Absensi", 'E2E Test Cases Master'!I$4:I$150, "Passed")</f>
        <v/>
      </c>
      <c r="E21" s="15">
        <f>COUNTIFS('E2E Test Cases Master'!B$4:B$150, "Presensi &amp; Rekonsiliasi Absensi", 'E2E Test Cases Master'!I$4:I$150, "Failed")</f>
        <v/>
      </c>
      <c r="F21" s="15">
        <f>COUNTIFS('E2E Test Cases Master'!B$4:B$150, "Presensi &amp; Rekonsiliasi Absensi", 'E2E Test Cases Master'!I$4:I$150, "In Progress")</f>
        <v/>
      </c>
      <c r="G21" s="15">
        <f>COUNTIFS('E2E Test Cases Master'!B$4:B$150, "Presensi &amp; Rekonsiliasi Absensi", 'E2E Test Cases Master'!I$4:I$150, "Blocked")</f>
        <v/>
      </c>
      <c r="H21" s="15">
        <f>COUNTIFS('E2E Test Cases Master'!B$4:B$150, "Presensi &amp; Rekonsiliasi Absensi", 'E2E Test Cases Master'!I$4:I$150, "Ready") + COUNTIFS('E2E Test Cases Master'!B$4:B$150, "Presensi &amp; Rekonsiliasi Absensi", 'E2E Test Cases Master'!I$4:I$150, "Draft")</f>
        <v/>
      </c>
      <c r="I21" s="17">
        <f>IF(C21&gt;0, (D21+E21+G21)/C21, 0)</f>
        <v/>
      </c>
      <c r="J21" s="17">
        <f>IF((D21+E21)&gt;0, D21/(D21+E21), 0)</f>
        <v/>
      </c>
      <c r="K21" s="15" t="inlineStr">
        <is>
          <t>QA Engineer C</t>
        </is>
      </c>
    </row>
    <row r="22">
      <c r="A22" s="18" t="n">
        <v>8</v>
      </c>
      <c r="B22" s="19" t="inlineStr">
        <is>
          <t>Catatan &amp; Upload File Terisolasi</t>
        </is>
      </c>
      <c r="C22" s="18">
        <f>COUNTIF('E2E Test Cases Master'!B$4:B$150, "Catatan &amp; Upload File Terisolasi")</f>
        <v/>
      </c>
      <c r="D22" s="18">
        <f>COUNTIFS('E2E Test Cases Master'!B$4:B$150, "Catatan &amp; Upload File Terisolasi", 'E2E Test Cases Master'!I$4:I$150, "Passed")</f>
        <v/>
      </c>
      <c r="E22" s="18">
        <f>COUNTIFS('E2E Test Cases Master'!B$4:B$150, "Catatan &amp; Upload File Terisolasi", 'E2E Test Cases Master'!I$4:I$150, "Failed")</f>
        <v/>
      </c>
      <c r="F22" s="18">
        <f>COUNTIFS('E2E Test Cases Master'!B$4:B$150, "Catatan &amp; Upload File Terisolasi", 'E2E Test Cases Master'!I$4:I$150, "In Progress")</f>
        <v/>
      </c>
      <c r="G22" s="18">
        <f>COUNTIFS('E2E Test Cases Master'!B$4:B$150, "Catatan &amp; Upload File Terisolasi", 'E2E Test Cases Master'!I$4:I$150, "Blocked")</f>
        <v/>
      </c>
      <c r="H22" s="18">
        <f>COUNTIFS('E2E Test Cases Master'!B$4:B$150, "Catatan &amp; Upload File Terisolasi", 'E2E Test Cases Master'!I$4:I$150, "Ready") + COUNTIFS('E2E Test Cases Master'!B$4:B$150, "Catatan &amp; Upload File Terisolasi", 'E2E Test Cases Master'!I$4:I$150, "Draft")</f>
        <v/>
      </c>
      <c r="I22" s="20">
        <f>IF(C22&gt;0, (D22+E22+G22)/C22, 0)</f>
        <v/>
      </c>
      <c r="J22" s="20">
        <f>IF((D22+E22)&gt;0, D22/(D22+E22), 0)</f>
        <v/>
      </c>
      <c r="K22" s="18" t="inlineStr">
        <is>
          <t>QA Engineer C</t>
        </is>
      </c>
    </row>
    <row r="23">
      <c r="A23" s="15" t="n">
        <v>9</v>
      </c>
      <c r="B23" s="16" t="inlineStr">
        <is>
          <t>Import &amp; Export Excel (Standard &amp; ARMS)</t>
        </is>
      </c>
      <c r="C23" s="15">
        <f>COUNTIF('E2E Test Cases Master'!B$4:B$150, "Import &amp; Export Excel (Standard &amp; ARMS)")</f>
        <v/>
      </c>
      <c r="D23" s="15">
        <f>COUNTIFS('E2E Test Cases Master'!B$4:B$150, "Import &amp; Export Excel (Standard &amp; ARMS)", 'E2E Test Cases Master'!I$4:I$150, "Passed")</f>
        <v/>
      </c>
      <c r="E23" s="15">
        <f>COUNTIFS('E2E Test Cases Master'!B$4:B$150, "Import &amp; Export Excel (Standard &amp; ARMS)", 'E2E Test Cases Master'!I$4:I$150, "Failed")</f>
        <v/>
      </c>
      <c r="F23" s="15">
        <f>COUNTIFS('E2E Test Cases Master'!B$4:B$150, "Import &amp; Export Excel (Standard &amp; ARMS)", 'E2E Test Cases Master'!I$4:I$150, "In Progress")</f>
        <v/>
      </c>
      <c r="G23" s="15">
        <f>COUNTIFS('E2E Test Cases Master'!B$4:B$150, "Import &amp; Export Excel (Standard &amp; ARMS)", 'E2E Test Cases Master'!I$4:I$150, "Blocked")</f>
        <v/>
      </c>
      <c r="H23" s="15">
        <f>COUNTIFS('E2E Test Cases Master'!B$4:B$150, "Import &amp; Export Excel (Standard &amp; ARMS)", 'E2E Test Cases Master'!I$4:I$150, "Ready") + COUNTIFS('E2E Test Cases Master'!B$4:B$150, "Import &amp; Export Excel (Standard &amp; ARMS)", 'E2E Test Cases Master'!I$4:I$150, "Draft")</f>
        <v/>
      </c>
      <c r="I23" s="17">
        <f>IF(C23&gt;0, (D23+E23+G23)/C23, 0)</f>
        <v/>
      </c>
      <c r="J23" s="17">
        <f>IF((D23+E23)&gt;0, D23/(D23+E23), 0)</f>
        <v/>
      </c>
      <c r="K23" s="15" t="inlineStr">
        <is>
          <t>QA Engineer D</t>
        </is>
      </c>
    </row>
    <row r="24">
      <c r="A24" s="18" t="n">
        <v>10</v>
      </c>
      <c r="B24" s="19" t="inlineStr">
        <is>
          <t>Anggota Tim &amp; Profil Direktori</t>
        </is>
      </c>
      <c r="C24" s="18">
        <f>COUNTIF('E2E Test Cases Master'!B$4:B$150, "Anggota Tim &amp; Profil Direktori")</f>
        <v/>
      </c>
      <c r="D24" s="18">
        <f>COUNTIFS('E2E Test Cases Master'!B$4:B$150, "Anggota Tim &amp; Profil Direktori", 'E2E Test Cases Master'!I$4:I$150, "Passed")</f>
        <v/>
      </c>
      <c r="E24" s="18">
        <f>COUNTIFS('E2E Test Cases Master'!B$4:B$150, "Anggota Tim &amp; Profil Direktori", 'E2E Test Cases Master'!I$4:I$150, "Failed")</f>
        <v/>
      </c>
      <c r="F24" s="18">
        <f>COUNTIFS('E2E Test Cases Master'!B$4:B$150, "Anggota Tim &amp; Profil Direktori", 'E2E Test Cases Master'!I$4:I$150, "In Progress")</f>
        <v/>
      </c>
      <c r="G24" s="18">
        <f>COUNTIFS('E2E Test Cases Master'!B$4:B$150, "Anggota Tim &amp; Profil Direktori", 'E2E Test Cases Master'!I$4:I$150, "Blocked")</f>
        <v/>
      </c>
      <c r="H24" s="18">
        <f>COUNTIFS('E2E Test Cases Master'!B$4:B$150, "Anggota Tim &amp; Profil Direktori", 'E2E Test Cases Master'!I$4:I$150, "Ready") + COUNTIFS('E2E Test Cases Master'!B$4:B$150, "Anggota Tim &amp; Profil Direktori", 'E2E Test Cases Master'!I$4:I$150, "Draft")</f>
        <v/>
      </c>
      <c r="I24" s="20">
        <f>IF(C24&gt;0, (D24+E24+G24)/C24, 0)</f>
        <v/>
      </c>
      <c r="J24" s="20">
        <f>IF((D24+E24)&gt;0, D24/(D24+E24), 0)</f>
        <v/>
      </c>
      <c r="K24" s="18" t="inlineStr">
        <is>
          <t>QA Engineer D</t>
        </is>
      </c>
    </row>
    <row r="25">
      <c r="A25" s="15" t="n">
        <v>11</v>
      </c>
      <c r="B25" s="16" t="inlineStr">
        <is>
          <t>Kalender Tugas Interaktif</t>
        </is>
      </c>
      <c r="C25" s="15">
        <f>COUNTIF('E2E Test Cases Master'!B$4:B$150, "Kalender Tugas Interaktif")</f>
        <v/>
      </c>
      <c r="D25" s="15">
        <f>COUNTIFS('E2E Test Cases Master'!B$4:B$150, "Kalender Tugas Interaktif", 'E2E Test Cases Master'!I$4:I$150, "Passed")</f>
        <v/>
      </c>
      <c r="E25" s="15">
        <f>COUNTIFS('E2E Test Cases Master'!B$4:B$150, "Kalender Tugas Interaktif", 'E2E Test Cases Master'!I$4:I$150, "Failed")</f>
        <v/>
      </c>
      <c r="F25" s="15">
        <f>COUNTIFS('E2E Test Cases Master'!B$4:B$150, "Kalender Tugas Interaktif", 'E2E Test Cases Master'!I$4:I$150, "In Progress")</f>
        <v/>
      </c>
      <c r="G25" s="15">
        <f>COUNTIFS('E2E Test Cases Master'!B$4:B$150, "Kalender Tugas Interaktif", 'E2E Test Cases Master'!I$4:I$150, "Blocked")</f>
        <v/>
      </c>
      <c r="H25" s="15">
        <f>COUNTIFS('E2E Test Cases Master'!B$4:B$150, "Kalender Tugas Interaktif", 'E2E Test Cases Master'!I$4:I$150, "Ready") + COUNTIFS('E2E Test Cases Master'!B$4:B$150, "Kalender Tugas Interaktif", 'E2E Test Cases Master'!I$4:I$150, "Draft")</f>
        <v/>
      </c>
      <c r="I25" s="17">
        <f>IF(C25&gt;0, (D25+E25+G25)/C25, 0)</f>
        <v/>
      </c>
      <c r="J25" s="17">
        <f>IF((D25+E25)&gt;0, D25/(D25+E25), 0)</f>
        <v/>
      </c>
      <c r="K25" s="15" t="inlineStr">
        <is>
          <t>QA Engineer B</t>
        </is>
      </c>
    </row>
    <row r="26">
      <c r="A26" s="18" t="n">
        <v>12</v>
      </c>
      <c r="B26" s="19" t="inlineStr">
        <is>
          <t>Developer Tools (SQL &amp; JSON)</t>
        </is>
      </c>
      <c r="C26" s="18">
        <f>COUNTIF('E2E Test Cases Master'!B$4:B$150, "Developer Tools (SQL &amp; JSON)")</f>
        <v/>
      </c>
      <c r="D26" s="18">
        <f>COUNTIFS('E2E Test Cases Master'!B$4:B$150, "Developer Tools (SQL &amp; JSON)", 'E2E Test Cases Master'!I$4:I$150, "Passed")</f>
        <v/>
      </c>
      <c r="E26" s="18">
        <f>COUNTIFS('E2E Test Cases Master'!B$4:B$150, "Developer Tools (SQL &amp; JSON)", 'E2E Test Cases Master'!I$4:I$150, "Failed")</f>
        <v/>
      </c>
      <c r="F26" s="18">
        <f>COUNTIFS('E2E Test Cases Master'!B$4:B$150, "Developer Tools (SQL &amp; JSON)", 'E2E Test Cases Master'!I$4:I$150, "In Progress")</f>
        <v/>
      </c>
      <c r="G26" s="18">
        <f>COUNTIFS('E2E Test Cases Master'!B$4:B$150, "Developer Tools (SQL &amp; JSON)", 'E2E Test Cases Master'!I$4:I$150, "Blocked")</f>
        <v/>
      </c>
      <c r="H26" s="18">
        <f>COUNTIFS('E2E Test Cases Master'!B$4:B$150, "Developer Tools (SQL &amp; JSON)", 'E2E Test Cases Master'!I$4:I$150, "Ready") + COUNTIFS('E2E Test Cases Master'!B$4:B$150, "Developer Tools (SQL &amp; JSON)", 'E2E Test Cases Master'!I$4:I$150, "Draft")</f>
        <v/>
      </c>
      <c r="I26" s="20">
        <f>IF(C26&gt;0, (D26+E26+G26)/C26, 0)</f>
        <v/>
      </c>
      <c r="J26" s="20">
        <f>IF((D26+E26)&gt;0, D26/(D26+E26), 0)</f>
        <v/>
      </c>
      <c r="K26" s="18" t="inlineStr">
        <is>
          <t>QA Specialist E</t>
        </is>
      </c>
    </row>
    <row r="27">
      <c r="A27" s="15" t="n">
        <v>13</v>
      </c>
      <c r="B27" s="16" t="inlineStr">
        <is>
          <t>Audit Trail &amp; Activity Log</t>
        </is>
      </c>
      <c r="C27" s="15">
        <f>COUNTIF('E2E Test Cases Master'!B$4:B$150, "Audit Trail &amp; Activity Log")</f>
        <v/>
      </c>
      <c r="D27" s="15">
        <f>COUNTIFS('E2E Test Cases Master'!B$4:B$150, "Audit Trail &amp; Activity Log", 'E2E Test Cases Master'!I$4:I$150, "Passed")</f>
        <v/>
      </c>
      <c r="E27" s="15">
        <f>COUNTIFS('E2E Test Cases Master'!B$4:B$150, "Audit Trail &amp; Activity Log", 'E2E Test Cases Master'!I$4:I$150, "Failed")</f>
        <v/>
      </c>
      <c r="F27" s="15">
        <f>COUNTIFS('E2E Test Cases Master'!B$4:B$150, "Audit Trail &amp; Activity Log", 'E2E Test Cases Master'!I$4:I$150, "In Progress")</f>
        <v/>
      </c>
      <c r="G27" s="15">
        <f>COUNTIFS('E2E Test Cases Master'!B$4:B$150, "Audit Trail &amp; Activity Log", 'E2E Test Cases Master'!I$4:I$150, "Blocked")</f>
        <v/>
      </c>
      <c r="H27" s="15">
        <f>COUNTIFS('E2E Test Cases Master'!B$4:B$150, "Audit Trail &amp; Activity Log", 'E2E Test Cases Master'!I$4:I$150, "Ready") + COUNTIFS('E2E Test Cases Master'!B$4:B$150, "Audit Trail &amp; Activity Log", 'E2E Test Cases Master'!I$4:I$150, "Draft")</f>
        <v/>
      </c>
      <c r="I27" s="17">
        <f>IF(C27&gt;0, (D27+E27+G27)/C27, 0)</f>
        <v/>
      </c>
      <c r="J27" s="17">
        <f>IF((D27+E27)&gt;0, D27/(D27+E27), 0)</f>
        <v/>
      </c>
      <c r="K27" s="15" t="inlineStr">
        <is>
          <t>QA Specialist E</t>
        </is>
      </c>
    </row>
    <row r="28">
      <c r="A28" s="18" t="n">
        <v>14</v>
      </c>
      <c r="B28" s="19" t="inlineStr">
        <is>
          <t>Master Data (Priority, Status, Milestone)</t>
        </is>
      </c>
      <c r="C28" s="18">
        <f>COUNTIF('E2E Test Cases Master'!B$4:B$150, "Master Data (Priority, Status, Milestone)")</f>
        <v/>
      </c>
      <c r="D28" s="18">
        <f>COUNTIFS('E2E Test Cases Master'!B$4:B$150, "Master Data (Priority, Status, Milestone)", 'E2E Test Cases Master'!I$4:I$150, "Passed")</f>
        <v/>
      </c>
      <c r="E28" s="18">
        <f>COUNTIFS('E2E Test Cases Master'!B$4:B$150, "Master Data (Priority, Status, Milestone)", 'E2E Test Cases Master'!I$4:I$150, "Failed")</f>
        <v/>
      </c>
      <c r="F28" s="18">
        <f>COUNTIFS('E2E Test Cases Master'!B$4:B$150, "Master Data (Priority, Status, Milestone)", 'E2E Test Cases Master'!I$4:I$150, "In Progress")</f>
        <v/>
      </c>
      <c r="G28" s="18">
        <f>COUNTIFS('E2E Test Cases Master'!B$4:B$150, "Master Data (Priority, Status, Milestone)", 'E2E Test Cases Master'!I$4:I$150, "Blocked")</f>
        <v/>
      </c>
      <c r="H28" s="18">
        <f>COUNTIFS('E2E Test Cases Master'!B$4:B$150, "Master Data (Priority, Status, Milestone)", 'E2E Test Cases Master'!I$4:I$150, "Ready") + COUNTIFS('E2E Test Cases Master'!B$4:B$150, "Master Data (Priority, Status, Milestone)", 'E2E Test Cases Master'!I$4:I$150, "Draft")</f>
        <v/>
      </c>
      <c r="I28" s="20">
        <f>IF(C28&gt;0, (D28+E28+G28)/C28, 0)</f>
        <v/>
      </c>
      <c r="J28" s="20">
        <f>IF((D28+E28)&gt;0, D28/(D28+E28), 0)</f>
        <v/>
      </c>
      <c r="K28" s="18" t="inlineStr">
        <is>
          <t>QA Engineer D</t>
        </is>
      </c>
    </row>
    <row r="29">
      <c r="A29" s="15" t="n">
        <v>15</v>
      </c>
      <c r="B29" s="16" t="inlineStr">
        <is>
          <t>Gamifikasi &amp; Check-In Streak</t>
        </is>
      </c>
      <c r="C29" s="15">
        <f>COUNTIF('E2E Test Cases Master'!B$4:B$150, "Gamifikasi &amp; Check-In Streak")</f>
        <v/>
      </c>
      <c r="D29" s="15">
        <f>COUNTIFS('E2E Test Cases Master'!B$4:B$150, "Gamifikasi &amp; Check-In Streak", 'E2E Test Cases Master'!I$4:I$150, "Passed")</f>
        <v/>
      </c>
      <c r="E29" s="15">
        <f>COUNTIFS('E2E Test Cases Master'!B$4:B$150, "Gamifikasi &amp; Check-In Streak", 'E2E Test Cases Master'!I$4:I$150, "Failed")</f>
        <v/>
      </c>
      <c r="F29" s="15">
        <f>COUNTIFS('E2E Test Cases Master'!B$4:B$150, "Gamifikasi &amp; Check-In Streak", 'E2E Test Cases Master'!I$4:I$150, "In Progress")</f>
        <v/>
      </c>
      <c r="G29" s="15">
        <f>COUNTIFS('E2E Test Cases Master'!B$4:B$150, "Gamifikasi &amp; Check-In Streak", 'E2E Test Cases Master'!I$4:I$150, "Blocked")</f>
        <v/>
      </c>
      <c r="H29" s="15">
        <f>COUNTIFS('E2E Test Cases Master'!B$4:B$150, "Gamifikasi &amp; Check-In Streak", 'E2E Test Cases Master'!I$4:I$150, "Ready") + COUNTIFS('E2E Test Cases Master'!B$4:B$150, "Gamifikasi &amp; Check-In Streak", 'E2E Test Cases Master'!I$4:I$150, "Draft")</f>
        <v/>
      </c>
      <c r="I29" s="17">
        <f>IF(C29&gt;0, (D29+E29+G29)/C29, 0)</f>
        <v/>
      </c>
      <c r="J29" s="17">
        <f>IF((D29+E29)&gt;0, D29/(D29+E29), 0)</f>
        <v/>
      </c>
      <c r="K29" s="15" t="inlineStr">
        <is>
          <t>QA Engineer A</t>
        </is>
      </c>
    </row>
    <row r="30">
      <c r="A30" s="18" t="n">
        <v>16</v>
      </c>
      <c r="B30" s="19" t="inlineStr">
        <is>
          <t>Notifikasi &amp; Integrasi SMTP Email</t>
        </is>
      </c>
      <c r="C30" s="18">
        <f>COUNTIF('E2E Test Cases Master'!B$4:B$150, "Notifikasi &amp; Integrasi SMTP Email")</f>
        <v/>
      </c>
      <c r="D30" s="18">
        <f>COUNTIFS('E2E Test Cases Master'!B$4:B$150, "Notifikasi &amp; Integrasi SMTP Email", 'E2E Test Cases Master'!I$4:I$150, "Passed")</f>
        <v/>
      </c>
      <c r="E30" s="18">
        <f>COUNTIFS('E2E Test Cases Master'!B$4:B$150, "Notifikasi &amp; Integrasi SMTP Email", 'E2E Test Cases Master'!I$4:I$150, "Failed")</f>
        <v/>
      </c>
      <c r="F30" s="18">
        <f>COUNTIFS('E2E Test Cases Master'!B$4:B$150, "Notifikasi &amp; Integrasi SMTP Email", 'E2E Test Cases Master'!I$4:I$150, "In Progress")</f>
        <v/>
      </c>
      <c r="G30" s="18">
        <f>COUNTIFS('E2E Test Cases Master'!B$4:B$150, "Notifikasi &amp; Integrasi SMTP Email", 'E2E Test Cases Master'!I$4:I$150, "Blocked")</f>
        <v/>
      </c>
      <c r="H30" s="18">
        <f>COUNTIFS('E2E Test Cases Master'!B$4:B$150, "Notifikasi &amp; Integrasi SMTP Email", 'E2E Test Cases Master'!I$4:I$150, "Ready") + COUNTIFS('E2E Test Cases Master'!B$4:B$150, "Notifikasi &amp; Integrasi SMTP Email", 'E2E Test Cases Master'!I$4:I$150, "Draft")</f>
        <v/>
      </c>
      <c r="I30" s="20">
        <f>IF(C30&gt;0, (D30+E30+G30)/C30, 0)</f>
        <v/>
      </c>
      <c r="J30" s="20">
        <f>IF((D30+E30)&gt;0, D30/(D30+E30), 0)</f>
        <v/>
      </c>
      <c r="K30" s="18" t="inlineStr">
        <is>
          <t>QA Engineer D</t>
        </is>
      </c>
    </row>
    <row r="31">
      <c r="A31" s="15" t="n">
        <v>17</v>
      </c>
      <c r="B31" s="16" t="inlineStr">
        <is>
          <t>Multi-Instance Node Synchronization</t>
        </is>
      </c>
      <c r="C31" s="15">
        <f>COUNTIF('E2E Test Cases Master'!B$4:B$150, "Multi-Instance Node Synchronization")</f>
        <v/>
      </c>
      <c r="D31" s="15">
        <f>COUNTIFS('E2E Test Cases Master'!B$4:B$150, "Multi-Instance Node Synchronization", 'E2E Test Cases Master'!I$4:I$150, "Passed")</f>
        <v/>
      </c>
      <c r="E31" s="15">
        <f>COUNTIFS('E2E Test Cases Master'!B$4:B$150, "Multi-Instance Node Synchronization", 'E2E Test Cases Master'!I$4:I$150, "Failed")</f>
        <v/>
      </c>
      <c r="F31" s="15">
        <f>COUNTIFS('E2E Test Cases Master'!B$4:B$150, "Multi-Instance Node Synchronization", 'E2E Test Cases Master'!I$4:I$150, "In Progress")</f>
        <v/>
      </c>
      <c r="G31" s="15">
        <f>COUNTIFS('E2E Test Cases Master'!B$4:B$150, "Multi-Instance Node Synchronization", 'E2E Test Cases Master'!I$4:I$150, "Blocked")</f>
        <v/>
      </c>
      <c r="H31" s="15">
        <f>COUNTIFS('E2E Test Cases Master'!B$4:B$150, "Multi-Instance Node Synchronization", 'E2E Test Cases Master'!I$4:I$150, "Ready") + COUNTIFS('E2E Test Cases Master'!B$4:B$150, "Multi-Instance Node Synchronization", 'E2E Test Cases Master'!I$4:I$150, "Draft")</f>
        <v/>
      </c>
      <c r="I31" s="17">
        <f>IF(C31&gt;0, (D31+E31+G31)/C31, 0)</f>
        <v/>
      </c>
      <c r="J31" s="17">
        <f>IF((D31+E31)&gt;0, D31/(D31+E31), 0)</f>
        <v/>
      </c>
      <c r="K31" s="15" t="inlineStr">
        <is>
          <t>QA Specialist E</t>
        </is>
      </c>
    </row>
    <row r="32">
      <c r="A32" s="18" t="n">
        <v>18</v>
      </c>
      <c r="B32" s="19" t="inlineStr">
        <is>
          <t>Tema Tampilan (40 Tema) &amp; Font Engine</t>
        </is>
      </c>
      <c r="C32" s="18">
        <f>COUNTIF('E2E Test Cases Master'!B$4:B$150, "Tema Tampilan (40 Tema) &amp; Font Engine")</f>
        <v/>
      </c>
      <c r="D32" s="18">
        <f>COUNTIFS('E2E Test Cases Master'!B$4:B$150, "Tema Tampilan (40 Tema) &amp; Font Engine", 'E2E Test Cases Master'!I$4:I$150, "Passed")</f>
        <v/>
      </c>
      <c r="E32" s="18">
        <f>COUNTIFS('E2E Test Cases Master'!B$4:B$150, "Tema Tampilan (40 Tema) &amp; Font Engine", 'E2E Test Cases Master'!I$4:I$150, "Failed")</f>
        <v/>
      </c>
      <c r="F32" s="18">
        <f>COUNTIFS('E2E Test Cases Master'!B$4:B$150, "Tema Tampilan (40 Tema) &amp; Font Engine", 'E2E Test Cases Master'!I$4:I$150, "In Progress")</f>
        <v/>
      </c>
      <c r="G32" s="18">
        <f>COUNTIFS('E2E Test Cases Master'!B$4:B$150, "Tema Tampilan (40 Tema) &amp; Font Engine", 'E2E Test Cases Master'!I$4:I$150, "Blocked")</f>
        <v/>
      </c>
      <c r="H32" s="18">
        <f>COUNTIFS('E2E Test Cases Master'!B$4:B$150, "Tema Tampilan (40 Tema) &amp; Font Engine", 'E2E Test Cases Master'!I$4:I$150, "Ready") + COUNTIFS('E2E Test Cases Master'!B$4:B$150, "Tema Tampilan (40 Tema) &amp; Font Engine", 'E2E Test Cases Master'!I$4:I$150, "Draft")</f>
        <v/>
      </c>
      <c r="I32" s="20">
        <f>IF(C32&gt;0, (D32+E32+G32)/C32, 0)</f>
        <v/>
      </c>
      <c r="J32" s="20">
        <f>IF((D32+E32)&gt;0, D32/(D32+E32), 0)</f>
        <v/>
      </c>
      <c r="K32" s="18" t="inlineStr">
        <is>
          <t>QA Engineer A</t>
        </is>
      </c>
    </row>
    <row r="33">
      <c r="A33" s="15" t="n">
        <v>19</v>
      </c>
      <c r="B33" s="16" t="inlineStr">
        <is>
          <t>RESTful API &amp; Swagger Bearer Auth</t>
        </is>
      </c>
      <c r="C33" s="15">
        <f>COUNTIF('E2E Test Cases Master'!B$4:B$150, "RESTful API &amp; Swagger Bearer Auth")</f>
        <v/>
      </c>
      <c r="D33" s="15">
        <f>COUNTIFS('E2E Test Cases Master'!B$4:B$150, "RESTful API &amp; Swagger Bearer Auth", 'E2E Test Cases Master'!I$4:I$150, "Passed")</f>
        <v/>
      </c>
      <c r="E33" s="15">
        <f>COUNTIFS('E2E Test Cases Master'!B$4:B$150, "RESTful API &amp; Swagger Bearer Auth", 'E2E Test Cases Master'!I$4:I$150, "Failed")</f>
        <v/>
      </c>
      <c r="F33" s="15">
        <f>COUNTIFS('E2E Test Cases Master'!B$4:B$150, "RESTful API &amp; Swagger Bearer Auth", 'E2E Test Cases Master'!I$4:I$150, "In Progress")</f>
        <v/>
      </c>
      <c r="G33" s="15">
        <f>COUNTIFS('E2E Test Cases Master'!B$4:B$150, "RESTful API &amp; Swagger Bearer Auth", 'E2E Test Cases Master'!I$4:I$150, "Blocked")</f>
        <v/>
      </c>
      <c r="H33" s="15">
        <f>COUNTIFS('E2E Test Cases Master'!B$4:B$150, "RESTful API &amp; Swagger Bearer Auth", 'E2E Test Cases Master'!I$4:I$150, "Ready") + COUNTIFS('E2E Test Cases Master'!B$4:B$150, "RESTful API &amp; Swagger Bearer Auth", 'E2E Test Cases Master'!I$4:I$150, "Draft")</f>
        <v/>
      </c>
      <c r="I33" s="17">
        <f>IF(C33&gt;0, (D33+E33+G33)/C33, 0)</f>
        <v/>
      </c>
      <c r="J33" s="17">
        <f>IF((D33+E33)&gt;0, D33/(D33+E33), 0)</f>
        <v/>
      </c>
      <c r="K33" s="15" t="inlineStr">
        <is>
          <t>QA Specialist E</t>
        </is>
      </c>
    </row>
    <row r="34">
      <c r="A34" s="21" t="inlineStr"/>
      <c r="B34" s="22" t="inlineStr">
        <is>
          <t>TOTAL KESELURUHAN</t>
        </is>
      </c>
      <c r="C34" s="14">
        <f>SUM(C15:C33)</f>
        <v/>
      </c>
      <c r="D34" s="14">
        <f>SUM(D15:D33)</f>
        <v/>
      </c>
      <c r="E34" s="14">
        <f>SUM(E15:E33)</f>
        <v/>
      </c>
      <c r="F34" s="14">
        <f>SUM(F15:F33)</f>
        <v/>
      </c>
      <c r="G34" s="14">
        <f>SUM(G15:G33)</f>
        <v/>
      </c>
      <c r="H34" s="14">
        <f>SUM(H15:H33)</f>
        <v/>
      </c>
      <c r="I34" s="23">
        <f>IF(C34&gt;0, (D34+E34+G34)/C34, 0)</f>
        <v/>
      </c>
      <c r="J34" s="23">
        <f>IF((D34+E34)&gt;0, D34/(D34+E34), 0)</f>
        <v/>
      </c>
      <c r="K34" s="24" t="inlineStr"/>
    </row>
  </sheetData>
  <mergeCells count="23">
    <mergeCell ref="B6:E6"/>
    <mergeCell ref="B5:E5"/>
    <mergeCell ref="H5:K5"/>
    <mergeCell ref="I9"/>
    <mergeCell ref="B4:E4"/>
    <mergeCell ref="A10:B11"/>
    <mergeCell ref="B7:E7"/>
    <mergeCell ref="C9:D9"/>
    <mergeCell ref="E9:F9"/>
    <mergeCell ref="K9"/>
    <mergeCell ref="H4:K4"/>
    <mergeCell ref="J9"/>
    <mergeCell ref="H6:K6"/>
    <mergeCell ref="I10:I11"/>
    <mergeCell ref="A1:K2"/>
    <mergeCell ref="K10:K11"/>
    <mergeCell ref="C10:D11"/>
    <mergeCell ref="E10:F11"/>
    <mergeCell ref="G10:H11"/>
    <mergeCell ref="H7:K7"/>
    <mergeCell ref="A9:B9"/>
    <mergeCell ref="G9:H9"/>
    <mergeCell ref="J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18" customWidth="1" min="4" max="4"/>
    <col width="38" customWidth="1" min="5" max="5"/>
    <col width="30" customWidth="1" min="6" max="6"/>
    <col width="45" customWidth="1" min="7" max="7"/>
    <col width="28" customWidth="1" min="8" max="8"/>
    <col width="15" customWidth="1" min="9" max="9"/>
    <col width="14" customWidth="1" min="10" max="10"/>
    <col width="38" customWidth="1" min="11" max="11"/>
    <col width="30" customWidth="1" min="12" max="12"/>
    <col width="16" customWidth="1" min="13" max="13"/>
    <col width="16" customWidth="1" min="14" max="14"/>
    <col width="14" customWidth="1" min="15" max="15"/>
    <col width="14" customWidth="1" min="16" max="16"/>
    <col width="20" customWidth="1" min="17" max="17"/>
  </cols>
  <sheetData>
    <row r="1">
      <c r="A1" s="1" t="inlineStr">
        <is>
          <t>MASTER REPOSITORY TEST CASE END-TO-END - WORK TRACKER PRO v3.7</t>
        </is>
      </c>
    </row>
    <row r="2"/>
    <row r="3">
      <c r="A3" s="14" t="inlineStr">
        <is>
          <t>TC ID</t>
        </is>
      </c>
      <c r="B3" s="14" t="inlineStr">
        <is>
          <t>Modul Utama</t>
        </is>
      </c>
      <c r="C3" s="14" t="inlineStr">
        <is>
          <t>Sub-Fitur / Komponen</t>
        </is>
      </c>
      <c r="D3" s="14" t="inlineStr">
        <is>
          <t>Tipe Pengujian</t>
        </is>
      </c>
      <c r="E3" s="14" t="inlineStr">
        <is>
          <t>Skenario Pengujian</t>
        </is>
      </c>
      <c r="F3" s="14" t="inlineStr">
        <is>
          <t>Prasyarat (Preconditions)</t>
        </is>
      </c>
      <c r="G3" s="14" t="inlineStr">
        <is>
          <t>Langkah-Langkah Pengujian</t>
        </is>
      </c>
      <c r="H3" s="14" t="inlineStr">
        <is>
          <t>Data Pengujian</t>
        </is>
      </c>
      <c r="I3" s="14" t="inlineStr">
        <is>
          <t>Status</t>
        </is>
      </c>
      <c r="J3" s="14" t="inlineStr">
        <is>
          <t>Prioritas</t>
        </is>
      </c>
      <c r="K3" s="14" t="inlineStr">
        <is>
          <t>Hasil yang Diharapkan</t>
        </is>
      </c>
      <c r="L3" s="14" t="inlineStr">
        <is>
          <t>Hasil Aktual</t>
        </is>
      </c>
      <c r="M3" s="14" t="inlineStr">
        <is>
          <t>Tipe Eksekusi</t>
        </is>
      </c>
      <c r="N3" s="14" t="inlineStr">
        <is>
          <t>Tester</t>
        </is>
      </c>
      <c r="O3" s="14" t="inlineStr">
        <is>
          <t>Tgl Eksekusi</t>
        </is>
      </c>
      <c r="P3" s="14" t="inlineStr">
        <is>
          <t>Defect ID</t>
        </is>
      </c>
      <c r="Q3" s="14" t="inlineStr">
        <is>
          <t>Catatan / Bukti</t>
        </is>
      </c>
    </row>
    <row r="4">
      <c r="A4" s="25" t="inlineStr">
        <is>
          <t>TC-AUTH-001</t>
        </is>
      </c>
      <c r="B4" s="16" t="inlineStr">
        <is>
          <t>Autentikasi &amp; Akun</t>
        </is>
      </c>
      <c r="C4" s="16" t="inlineStr">
        <is>
          <t>Registrasi Akun Baru</t>
        </is>
      </c>
      <c r="D4" s="16" t="inlineStr">
        <is>
          <t>E2E Flow</t>
        </is>
      </c>
      <c r="E4" s="16" t="inlineStr">
        <is>
          <t>Pendaftaran pengguna baru dengan data valid menghasilkan status pending approval</t>
        </is>
      </c>
      <c r="F4" s="16" t="inlineStr">
        <is>
          <t>Aplikasi aktif, halaman /Account/Register dapat diakses</t>
        </is>
      </c>
      <c r="G4" s="16" t="inlineStr">
        <is>
          <t>1. Buka /Account/Register
2. Isi Username, Email, Password, Corporate Code, Full Name
3. Klik Daftar</t>
        </is>
      </c>
      <c r="H4" s="16" t="inlineStr">
        <is>
          <t>Username: john_qa, Email: john@company.com, Pass: Pass@1234, Code: CORP01</t>
        </is>
      </c>
      <c r="I4" s="15" t="inlineStr">
        <is>
          <t>Passed</t>
        </is>
      </c>
      <c r="J4" s="15" t="inlineStr">
        <is>
          <t>Critical</t>
        </is>
      </c>
      <c r="K4" s="16" t="inlineStr">
        <is>
          <t>Akun tersimpan di DB dengan IsApproved=0, diarahkan ke info Menunggu Persetujuan Admin</t>
        </is>
      </c>
      <c r="L4" s="16" t="inlineStr">
        <is>
          <t>Sesuai, muncul alert menunggu approval</t>
        </is>
      </c>
      <c r="M4" s="15" t="inlineStr">
        <is>
          <t>Manual UI</t>
        </is>
      </c>
      <c r="N4" s="15" t="inlineStr">
        <is>
          <t>QA Engineer A</t>
        </is>
      </c>
      <c r="O4" s="15" t="inlineStr">
        <is>
          <t>2026-10-01</t>
        </is>
      </c>
      <c r="P4" s="15" t="inlineStr"/>
      <c r="Q4" s="16" t="inlineStr">
        <is>
          <t>Verified</t>
        </is>
      </c>
    </row>
    <row r="5">
      <c r="A5" s="26" t="inlineStr">
        <is>
          <t>TC-AUTH-002</t>
        </is>
      </c>
      <c r="B5" s="19" t="inlineStr">
        <is>
          <t>Autentikasi &amp; Akun</t>
        </is>
      </c>
      <c r="C5" s="19" t="inlineStr">
        <is>
          <t>Login Akun Belum Diapprove</t>
        </is>
      </c>
      <c r="D5" s="19" t="inlineStr">
        <is>
          <t>Negative / Security</t>
        </is>
      </c>
      <c r="E5" s="19" t="inlineStr">
        <is>
          <t>Pengguna yang belum disetujui tidak dapat login ke sistem</t>
        </is>
      </c>
      <c r="F5" s="19" t="inlineStr">
        <is>
          <t>Akun john_qa sudah terdaftar dengan IsApproved=0</t>
        </is>
      </c>
      <c r="G5" s="19" t="inlineStr">
        <is>
          <t>1. Buka /Account/Login
2. Masukkan username john_qa &amp; password
3. Klik tombol Masuk</t>
        </is>
      </c>
      <c r="H5" s="19" t="inlineStr">
        <is>
          <t>Username: john_qa, Pass: Pass@1234</t>
        </is>
      </c>
      <c r="I5" s="18" t="inlineStr">
        <is>
          <t>Passed</t>
        </is>
      </c>
      <c r="J5" s="18" t="inlineStr">
        <is>
          <t>High</t>
        </is>
      </c>
      <c r="K5" s="19" t="inlineStr">
        <is>
          <t>Login gagal, muncul pesan: 'Akun Anda sedang menunggu persetujuan Administrator.'</t>
        </is>
      </c>
      <c r="L5" s="19" t="inlineStr">
        <is>
          <t>Sesuai, dicegah masuk</t>
        </is>
      </c>
      <c r="M5" s="18" t="inlineStr">
        <is>
          <t>Manual UI</t>
        </is>
      </c>
      <c r="N5" s="18" t="inlineStr">
        <is>
          <t>QA Engineer A</t>
        </is>
      </c>
      <c r="O5" s="18" t="inlineStr">
        <is>
          <t>2026-10-01</t>
        </is>
      </c>
      <c r="P5" s="18" t="inlineStr"/>
      <c r="Q5" s="19" t="inlineStr">
        <is>
          <t>Verified</t>
        </is>
      </c>
    </row>
    <row r="6">
      <c r="A6" s="25" t="inlineStr">
        <is>
          <t>TC-AUTH-003</t>
        </is>
      </c>
      <c r="B6" s="16" t="inlineStr">
        <is>
          <t>Autentikasi &amp; Akun</t>
        </is>
      </c>
      <c r="C6" s="16" t="inlineStr">
        <is>
          <t>Admin Approval Workflow</t>
        </is>
      </c>
      <c r="D6" s="16" t="inlineStr">
        <is>
          <t>E2E Flow</t>
        </is>
      </c>
      <c r="E6" s="16" t="inlineStr">
        <is>
          <t>Administrator menyetujui akun baru melalui menu Approval</t>
        </is>
      </c>
      <c r="F6" s="16" t="inlineStr">
        <is>
          <t>Login sebagai Admin; ada akun pending approval</t>
        </is>
      </c>
      <c r="G6" s="16" t="inlineStr">
        <is>
          <t>1. Buka menu Admin &gt; User Approval
2. Temukan user john_qa
3. Klik tombol Setujui (Approve)
4. Konfirmasi dialog</t>
        </is>
      </c>
      <c r="H6" s="16" t="inlineStr">
        <is>
          <t>User ID target: john_qa</t>
        </is>
      </c>
      <c r="I6" s="15" t="inlineStr">
        <is>
          <t>Passed</t>
        </is>
      </c>
      <c r="J6" s="15" t="inlineStr">
        <is>
          <t>Critical</t>
        </is>
      </c>
      <c r="K6" s="16" t="inlineStr">
        <is>
          <t>Status user berubah menjadi IsApproved=1, user john_qa kini dapat login sukses</t>
        </is>
      </c>
      <c r="L6" s="16" t="inlineStr">
        <is>
          <t>User berhasil di-approve dan login lancar</t>
        </is>
      </c>
      <c r="M6" s="15" t="inlineStr">
        <is>
          <t>Manual UI</t>
        </is>
      </c>
      <c r="N6" s="15" t="inlineStr">
        <is>
          <t>QA Engineer A</t>
        </is>
      </c>
      <c r="O6" s="15" t="inlineStr">
        <is>
          <t>2026-10-01</t>
        </is>
      </c>
      <c r="P6" s="15" t="inlineStr"/>
      <c r="Q6" s="16" t="inlineStr">
        <is>
          <t>Verified</t>
        </is>
      </c>
    </row>
    <row r="7">
      <c r="A7" s="26" t="inlineStr">
        <is>
          <t>TC-AUTH-004</t>
        </is>
      </c>
      <c r="B7" s="19" t="inlineStr">
        <is>
          <t>Autentikasi &amp; Akun</t>
        </is>
      </c>
      <c r="C7" s="19" t="inlineStr">
        <is>
          <t>Dual Auth (Cookie &amp; JWT API)</t>
        </is>
      </c>
      <c r="D7" s="19" t="inlineStr">
        <is>
          <t>Integration / Security</t>
        </is>
      </c>
      <c r="E7" s="19" t="inlineStr">
        <is>
          <t>Login web menghasilkan Cookie Auth, dan login API menghasilkan Bearer JWT yang valid</t>
        </is>
      </c>
      <c r="F7" s="19" t="inlineStr">
        <is>
          <t>Endpoint /api/auth/login dan web login aktif</t>
        </is>
      </c>
      <c r="G7" s="19" t="inlineStr">
        <is>
          <t>1. Login web via browser (cek Cookie .AspNetCore.Cookies)
2. POST /api/auth/login via Postman (cek format JWT &amp; claim)</t>
        </is>
      </c>
      <c r="H7" s="19" t="inlineStr">
        <is>
          <t>Creds: admin / Admin@123</t>
        </is>
      </c>
      <c r="I7" s="18" t="inlineStr">
        <is>
          <t>Passed</t>
        </is>
      </c>
      <c r="J7" s="18" t="inlineStr">
        <is>
          <t>Critical</t>
        </is>
      </c>
      <c r="K7" s="19" t="inlineStr">
        <is>
          <t>Web login sukses dengan cookie HttpOnly; API login menghasilkan token JWT berisi claim Role &amp; CompanyCode</t>
        </is>
      </c>
      <c r="L7" s="19" t="inlineStr">
        <is>
          <t>Keduanya berfungsi independen dan aman</t>
        </is>
      </c>
      <c r="M7" s="18" t="inlineStr">
        <is>
          <t>API Postman</t>
        </is>
      </c>
      <c r="N7" s="18" t="inlineStr">
        <is>
          <t>QA Specialist E</t>
        </is>
      </c>
      <c r="O7" s="18" t="inlineStr">
        <is>
          <t>2026-10-02</t>
        </is>
      </c>
      <c r="P7" s="18" t="inlineStr"/>
      <c r="Q7" s="19" t="inlineStr">
        <is>
          <t>Verified</t>
        </is>
      </c>
    </row>
    <row r="8">
      <c r="A8" s="25" t="inlineStr">
        <is>
          <t>TC-AUTH-005</t>
        </is>
      </c>
      <c r="B8" s="16" t="inlineStr">
        <is>
          <t>Autentikasi &amp; Akun</t>
        </is>
      </c>
      <c r="C8" s="16" t="inlineStr">
        <is>
          <t>Session Timeout &amp; Auto Logout</t>
        </is>
      </c>
      <c r="D8" s="16" t="inlineStr">
        <is>
          <t>Security / Boundary</t>
        </is>
      </c>
      <c r="E8" s="16" t="inlineStr">
        <is>
          <t>Inaktivitas pengguna selama 1 jam memicu auto-logout otomatis</t>
        </is>
      </c>
      <c r="F8" s="16" t="inlineStr">
        <is>
          <t>User sedang login di dashboard web</t>
        </is>
      </c>
      <c r="G8" s="16" t="inlineStr">
        <is>
          <t>1. Biarkan sesi tidak aktif atau trigger inactivity timer 3600 detik di browser console
2. Lakukan navigasi klik</t>
        </is>
      </c>
      <c r="H8" s="16" t="inlineStr">
        <is>
          <t>Session idle timeout = 3600s</t>
        </is>
      </c>
      <c r="I8" s="15" t="inlineStr">
        <is>
          <t>In Progress</t>
        </is>
      </c>
      <c r="J8" s="15" t="inlineStr">
        <is>
          <t>High</t>
        </is>
      </c>
      <c r="K8" s="16" t="inlineStr">
        <is>
          <t>session-manager.js mendeteksi timeout dan redirect otomatis ke /Account/Login?reason=timeout</t>
        </is>
      </c>
      <c r="L8" s="16" t="inlineStr">
        <is>
          <t>Script session guard aktif, verifikasi auto redirect</t>
        </is>
      </c>
      <c r="M8" s="15" t="inlineStr">
        <is>
          <t>Manual UI</t>
        </is>
      </c>
      <c r="N8" s="15" t="inlineStr">
        <is>
          <t>QA Engineer A</t>
        </is>
      </c>
      <c r="O8" s="15" t="inlineStr">
        <is>
          <t>2026-10-03</t>
        </is>
      </c>
      <c r="P8" s="15" t="inlineStr"/>
      <c r="Q8" s="16" t="inlineStr">
        <is>
          <t>Ongoing test</t>
        </is>
      </c>
    </row>
    <row r="9">
      <c r="A9" s="26" t="inlineStr">
        <is>
          <t>TC-AUTH-006</t>
        </is>
      </c>
      <c r="B9" s="19" t="inlineStr">
        <is>
          <t>Autentikasi &amp; Akun</t>
        </is>
      </c>
      <c r="C9" s="19" t="inlineStr">
        <is>
          <t>Lupa &amp; Reset Password</t>
        </is>
      </c>
      <c r="D9" s="19" t="inlineStr">
        <is>
          <t>Functional</t>
        </is>
      </c>
      <c r="E9" s="19" t="inlineStr">
        <is>
          <t>Permintaan reset password mengirimkan token valid dan memperbarui sandi</t>
        </is>
      </c>
      <c r="F9" s="19" t="inlineStr">
        <is>
          <t>SMTP terkonfigurasi atau token reset tercatat di log</t>
        </is>
      </c>
      <c r="G9" s="19" t="inlineStr">
        <is>
          <t>1. Buka /Account/ForgotPassword
2. Masukkan email terdaftar
3. Buka link reset dengan token
4. Masukkan password baru</t>
        </is>
      </c>
      <c r="H9" s="19" t="inlineStr">
        <is>
          <t>Email: user@company.com, New Pass: NewPass@2026</t>
        </is>
      </c>
      <c r="I9" s="18" t="inlineStr">
        <is>
          <t>Ready</t>
        </is>
      </c>
      <c r="J9" s="18" t="inlineStr">
        <is>
          <t>High</t>
        </is>
      </c>
      <c r="K9" s="19" t="inlineStr">
        <is>
          <t>Password lama tidak berlaku, login berhasil dengan password baru</t>
        </is>
      </c>
      <c r="L9" s="19" t="inlineStr"/>
      <c r="M9" s="18" t="inlineStr">
        <is>
          <t>Manual UI</t>
        </is>
      </c>
      <c r="N9" s="18" t="inlineStr">
        <is>
          <t>QA Engineer A</t>
        </is>
      </c>
      <c r="O9" s="18" t="inlineStr"/>
      <c r="P9" s="18" t="inlineStr"/>
      <c r="Q9" s="19" t="inlineStr">
        <is>
          <t>Siap diuji</t>
        </is>
      </c>
    </row>
    <row r="10">
      <c r="A10" s="25" t="inlineStr">
        <is>
          <t>TC-COMP-001</t>
        </is>
      </c>
      <c r="B10" s="16" t="inlineStr">
        <is>
          <t>Multi-Company &amp; Isolation</t>
        </is>
      </c>
      <c r="C10" s="16" t="inlineStr">
        <is>
          <t>Corporate Code Data Isolation</t>
        </is>
      </c>
      <c r="D10" s="16" t="inlineStr">
        <is>
          <t>Security / E2E</t>
        </is>
      </c>
      <c r="E10" s="16" t="inlineStr">
        <is>
          <t>User Company A dilarang melihat data tugas, proyek, dan anggota Company B</t>
        </is>
      </c>
      <c r="F10" s="16" t="inlineStr">
        <is>
          <t>Dua akun: User_A (Company ALPHA) dan User_B (Company BETA)</t>
        </is>
      </c>
      <c r="G10" s="16" t="inlineStr">
        <is>
          <t>1. Login User_A, buat proyek 'Project Alpha' &amp; tugas 'Task Alpha'
2. Logout, Login User_B
3. Buka halaman Project, Task, Member</t>
        </is>
      </c>
      <c r="H10" s="16" t="inlineStr">
        <is>
          <t>Corp A: ALPHA, Corp B: BETA</t>
        </is>
      </c>
      <c r="I10" s="15" t="inlineStr">
        <is>
          <t>Passed</t>
        </is>
      </c>
      <c r="J10" s="15" t="inlineStr">
        <is>
          <t>Critical</t>
        </is>
      </c>
      <c r="K10" s="16" t="inlineStr">
        <is>
          <t>Data milik ALPHA sama sekali tidak muncul di daftar milik BETA (Query filter CompanyCode aktif)</t>
        </is>
      </c>
      <c r="L10" s="16" t="inlineStr">
        <is>
          <t>Isolasi data 100% aman, tidak bocor</t>
        </is>
      </c>
      <c r="M10" s="15" t="inlineStr">
        <is>
          <t>Manual UI</t>
        </is>
      </c>
      <c r="N10" s="15" t="inlineStr">
        <is>
          <t>QA Engineer A</t>
        </is>
      </c>
      <c r="O10" s="15" t="inlineStr">
        <is>
          <t>2026-10-02</t>
        </is>
      </c>
      <c r="P10" s="15" t="inlineStr"/>
      <c r="Q10" s="16" t="inlineStr">
        <is>
          <t>Verified</t>
        </is>
      </c>
    </row>
    <row r="11">
      <c r="A11" s="26" t="inlineStr">
        <is>
          <t>TC-COMP-002</t>
        </is>
      </c>
      <c r="B11" s="19" t="inlineStr">
        <is>
          <t>Multi-Company &amp; Isolation</t>
        </is>
      </c>
      <c r="C11" s="19" t="inlineStr">
        <is>
          <t>SuperAdmin Grouping View</t>
        </is>
      </c>
      <c r="D11" s="19" t="inlineStr">
        <is>
          <t>Functional</t>
        </is>
      </c>
      <c r="E11" s="19" t="inlineStr">
        <is>
          <t>SuperAdmin dapat melihat seluruh perusahaan dan melakukan filter per Corporate Code</t>
        </is>
      </c>
      <c r="F11" s="19" t="inlineStr">
        <is>
          <t>Login sebagai SuperAdmin</t>
        </is>
      </c>
      <c r="G11" s="19" t="inlineStr">
        <is>
          <t>1. Buka Dashboard atau Member List
2. Gunakan dropdown filter Corporate Code
3. Pilih 'Semua' lalu pilih spesifik perusahaan</t>
        </is>
      </c>
      <c r="H11" s="19" t="inlineStr">
        <is>
          <t>Filter: ALL vs CORP01 vs CORP02</t>
        </is>
      </c>
      <c r="I11" s="18" t="inlineStr">
        <is>
          <t>Passed</t>
        </is>
      </c>
      <c r="J11" s="18" t="inlineStr">
        <is>
          <t>Medium</t>
        </is>
      </c>
      <c r="K11" s="19" t="inlineStr">
        <is>
          <t>Daftar tersaring secara dinamis sesuai pilihan kode perusahaan tanpa bug tampilan</t>
        </is>
      </c>
      <c r="L11" s="19" t="inlineStr">
        <is>
          <t>Filter berfungsi tepat</t>
        </is>
      </c>
      <c r="M11" s="18" t="inlineStr">
        <is>
          <t>Manual UI</t>
        </is>
      </c>
      <c r="N11" s="18" t="inlineStr">
        <is>
          <t>QA Engineer A</t>
        </is>
      </c>
      <c r="O11" s="18" t="inlineStr">
        <is>
          <t>2026-10-02</t>
        </is>
      </c>
      <c r="P11" s="18" t="inlineStr"/>
      <c r="Q11" s="19" t="inlineStr">
        <is>
          <t>Verified</t>
        </is>
      </c>
    </row>
    <row r="12">
      <c r="A12" s="25" t="inlineStr">
        <is>
          <t>TC-PROJ-001</t>
        </is>
      </c>
      <c r="B12" s="16" t="inlineStr">
        <is>
          <t>Manajemen Proyek &amp; Kategori</t>
        </is>
      </c>
      <c r="C12" s="16" t="inlineStr">
        <is>
          <t>Create Project Baru</t>
        </is>
      </c>
      <c r="D12" s="16" t="inlineStr">
        <is>
          <t>Functional</t>
        </is>
      </c>
      <c r="E12" s="16" t="inlineStr">
        <is>
          <t>Pembuatan proyek baru dengan nama, anggaran (budget), tenggat waktu, dan kategori</t>
        </is>
      </c>
      <c r="F12" s="16" t="inlineStr">
        <is>
          <t>Role Manager / Admin</t>
        </is>
      </c>
      <c r="G12" s="16" t="inlineStr">
        <is>
          <t>1. Buka menu Projects &gt; Tambah Proyek
2. Isi Nama, Deskripsi, Kategori, Budget, Start Date, End Date
3. Simpan</t>
        </is>
      </c>
      <c r="H12" s="16" t="inlineStr">
        <is>
          <t>Nama: Sistem Billing v2, Budget: 50.000.000, Target: 2026-12-31</t>
        </is>
      </c>
      <c r="I12" s="15" t="inlineStr">
        <is>
          <t>Passed</t>
        </is>
      </c>
      <c r="J12" s="15" t="inlineStr">
        <is>
          <t>High</t>
        </is>
      </c>
      <c r="K12" s="16" t="inlineStr">
        <is>
          <t>Proyek tersimpan di SQLite, muncul di list dengan badge status 'Planning/Active'</t>
        </is>
      </c>
      <c r="L12" s="16" t="inlineStr">
        <is>
          <t>Tersimpan sukses, budget terformat rupiah</t>
        </is>
      </c>
      <c r="M12" s="15" t="inlineStr">
        <is>
          <t>Manual UI</t>
        </is>
      </c>
      <c r="N12" s="15" t="inlineStr">
        <is>
          <t>QA Engineer B</t>
        </is>
      </c>
      <c r="O12" s="15" t="inlineStr">
        <is>
          <t>2026-10-03</t>
        </is>
      </c>
      <c r="P12" s="15" t="inlineStr"/>
      <c r="Q12" s="16" t="inlineStr">
        <is>
          <t>Verified</t>
        </is>
      </c>
    </row>
    <row r="13">
      <c r="A13" s="26" t="inlineStr">
        <is>
          <t>TC-PROJ-002</t>
        </is>
      </c>
      <c r="B13" s="19" t="inlineStr">
        <is>
          <t>Manajemen Proyek &amp; Kategori</t>
        </is>
      </c>
      <c r="C13" s="19" t="inlineStr">
        <is>
          <t>Update Status &amp; Progress Proyek</t>
        </is>
      </c>
      <c r="D13" s="19" t="inlineStr">
        <is>
          <t>Functional</t>
        </is>
      </c>
      <c r="E13" s="19" t="inlineStr">
        <is>
          <t>Perubahan status proyek dari Planning ke Active ke Completed</t>
        </is>
      </c>
      <c r="F13" s="19" t="inlineStr">
        <is>
          <t>Proyek 'Sistem Billing v2' sudah ada</t>
        </is>
      </c>
      <c r="G13" s="19" t="inlineStr">
        <is>
          <t>1. Klik Edit Proyek
2. Ubah status ke Active
3. Tambah beberapa task selesai
4. Cek progress bar proyek</t>
        </is>
      </c>
      <c r="H13" s="19" t="inlineStr">
        <is>
          <t>Status: Active, Task Done: 3 dari 5</t>
        </is>
      </c>
      <c r="I13" s="18" t="inlineStr">
        <is>
          <t>Passed</t>
        </is>
      </c>
      <c r="J13" s="18" t="inlineStr">
        <is>
          <t>Medium</t>
        </is>
      </c>
      <c r="K13" s="19" t="inlineStr">
        <is>
          <t>Persentase progress proyek terkalkulasi otomatis berdasarkan rasio task selesai</t>
        </is>
      </c>
      <c r="L13" s="19" t="inlineStr">
        <is>
          <t>Kalkulasi persentase akurat 60%</t>
        </is>
      </c>
      <c r="M13" s="18" t="inlineStr">
        <is>
          <t>Manual UI</t>
        </is>
      </c>
      <c r="N13" s="18" t="inlineStr">
        <is>
          <t>QA Engineer B</t>
        </is>
      </c>
      <c r="O13" s="18" t="inlineStr">
        <is>
          <t>2026-10-03</t>
        </is>
      </c>
      <c r="P13" s="18" t="inlineStr"/>
      <c r="Q13" s="19" t="inlineStr">
        <is>
          <t>Verified</t>
        </is>
      </c>
    </row>
    <row r="14">
      <c r="A14" s="25" t="inlineStr">
        <is>
          <t>TC-PROJ-003</t>
        </is>
      </c>
      <c r="B14" s="16" t="inlineStr">
        <is>
          <t>Manajemen Proyek &amp; Kategori</t>
        </is>
      </c>
      <c r="C14" s="16" t="inlineStr">
        <is>
          <t>Restriksi Akses Role Member Biasa</t>
        </is>
      </c>
      <c r="D14" s="16" t="inlineStr">
        <is>
          <t>Security / RBAC</t>
        </is>
      </c>
      <c r="E14" s="16" t="inlineStr">
        <is>
          <t>Role Member dilarang menghapus atau mengubah anggaran proyek penting</t>
        </is>
      </c>
      <c r="F14" s="16" t="inlineStr">
        <is>
          <t>Login sebagai role Member biasa</t>
        </is>
      </c>
      <c r="G14" s="16" t="inlineStr">
        <is>
          <t>1. Buka halaman Project Detail
2. Coba akses tombol Edit / Hapus via UI dan direct URL /Project/Delete/1</t>
        </is>
      </c>
      <c r="H14" s="16" t="inlineStr">
        <is>
          <t>User role: Member</t>
        </is>
      </c>
      <c r="I14" s="15" t="inlineStr">
        <is>
          <t>Passed</t>
        </is>
      </c>
      <c r="J14" s="15" t="inlineStr">
        <is>
          <t>High</t>
        </is>
      </c>
      <c r="K14" s="16" t="inlineStr">
        <is>
          <t>Tombol hapus tidak muncul; request direct URL diblokir dengan HTTP 403 / Redirect Access Denied</t>
        </is>
      </c>
      <c r="L14" s="16" t="inlineStr">
        <is>
          <t>RBAC proteksi aktif</t>
        </is>
      </c>
      <c r="M14" s="15" t="inlineStr">
        <is>
          <t>Manual UI</t>
        </is>
      </c>
      <c r="N14" s="15" t="inlineStr">
        <is>
          <t>QA Engineer B</t>
        </is>
      </c>
      <c r="O14" s="15" t="inlineStr">
        <is>
          <t>2026-10-03</t>
        </is>
      </c>
      <c r="P14" s="15" t="inlineStr"/>
      <c r="Q14" s="16" t="inlineStr">
        <is>
          <t>Verified</t>
        </is>
      </c>
    </row>
    <row r="15">
      <c r="A15" s="26" t="inlineStr">
        <is>
          <t>TC-TASK-001</t>
        </is>
      </c>
      <c r="B15" s="19" t="inlineStr">
        <is>
          <t>Manajemen Tugas &amp; Parenting</t>
        </is>
      </c>
      <c r="C15" s="19" t="inlineStr">
        <is>
          <t>Create Parent Task Lengkap</t>
        </is>
      </c>
      <c r="D15" s="19" t="inlineStr">
        <is>
          <t>E2E Flow</t>
        </is>
      </c>
      <c r="E15" s="19" t="inlineStr">
        <is>
          <t>Pembuatan tugas induk dengan estimasi jam, prioritas, status, deadline, milestone</t>
        </is>
      </c>
      <c r="F15" s="19" t="inlineStr">
        <is>
          <t>Login sebagai User / Manager</t>
        </is>
      </c>
      <c r="G15" s="19" t="inlineStr">
        <is>
          <t>1. Buka menu Tasks &gt; Buat Tugas Baru
2. Isi Judul, Deskripsi, Estimasi 16 Jam, Prioritas Tinggi, Milestone Sprint 1
3. Simpan</t>
        </is>
      </c>
      <c r="H15" s="19" t="inlineStr">
        <is>
          <t>Judul: Integrasi Gateway Pembayaran, Est: 16 jam, Priority: High</t>
        </is>
      </c>
      <c r="I15" s="18" t="inlineStr">
        <is>
          <t>Passed</t>
        </is>
      </c>
      <c r="J15" s="18" t="inlineStr">
        <is>
          <t>Critical</t>
        </is>
      </c>
      <c r="K15" s="19" t="inlineStr">
        <is>
          <t>Tugas tersimpan, muncul di daftar tugas dengan ID unik dan badge milestone</t>
        </is>
      </c>
      <c r="L15" s="19" t="inlineStr">
        <is>
          <t>Tersimpan dengan baik</t>
        </is>
      </c>
      <c r="M15" s="18" t="inlineStr">
        <is>
          <t>Manual UI</t>
        </is>
      </c>
      <c r="N15" s="18" t="inlineStr">
        <is>
          <t>QA Engineer B</t>
        </is>
      </c>
      <c r="O15" s="18" t="inlineStr">
        <is>
          <t>2026-10-04</t>
        </is>
      </c>
      <c r="P15" s="18" t="inlineStr"/>
      <c r="Q15" s="19" t="inlineStr">
        <is>
          <t>Verified</t>
        </is>
      </c>
    </row>
    <row r="16">
      <c r="A16" s="25" t="inlineStr">
        <is>
          <t>TC-TASK-002</t>
        </is>
      </c>
      <c r="B16" s="16" t="inlineStr">
        <is>
          <t>Manajemen Tugas &amp; Parenting</t>
        </is>
      </c>
      <c r="C16" s="16" t="inlineStr">
        <is>
          <t>Hierarki Subtask (Parent-Child)</t>
        </is>
      </c>
      <c r="D16" s="16" t="inlineStr">
        <is>
          <t>Functional</t>
        </is>
      </c>
      <c r="E16" s="16" t="inlineStr">
        <is>
          <t>Pembuatan Subtask di bawah Parent Task dan auto-kalkulasi agregat progress</t>
        </is>
      </c>
      <c r="F16" s="16" t="inlineStr">
        <is>
          <t>Parent Task ID #10 sudah aktif</t>
        </is>
      </c>
      <c r="G16" s="16" t="inlineStr">
        <is>
          <t>1. Buka detail Parent Task #10
2. Klik Tambah Subtask
3. Buat Subtask A (4 Jam) &amp; Subtask B (4 Jam)
4. Tandai Subtask A 'Done'</t>
        </is>
      </c>
      <c r="H16" s="16" t="inlineStr">
        <is>
          <t>Parent ID: 10, Subtask 1: Selesai, Subtask 2: Pending</t>
        </is>
      </c>
      <c r="I16" s="15" t="inlineStr">
        <is>
          <t>Passed</t>
        </is>
      </c>
      <c r="J16" s="15" t="inlineStr">
        <is>
          <t>High</t>
        </is>
      </c>
      <c r="K16" s="16" t="inlineStr">
        <is>
          <t>Subtask terhubung ke ParentId=10, progress Parent task otomatis naik ke 50%</t>
        </is>
      </c>
      <c r="L16" s="16" t="inlineStr">
        <is>
          <t>Agregasi progress subtask berjalan mulus</t>
        </is>
      </c>
      <c r="M16" s="15" t="inlineStr">
        <is>
          <t>Manual UI</t>
        </is>
      </c>
      <c r="N16" s="15" t="inlineStr">
        <is>
          <t>QA Engineer B</t>
        </is>
      </c>
      <c r="O16" s="15" t="inlineStr">
        <is>
          <t>2026-10-04</t>
        </is>
      </c>
      <c r="P16" s="15" t="inlineStr"/>
      <c r="Q16" s="16" t="inlineStr">
        <is>
          <t>Verified</t>
        </is>
      </c>
    </row>
    <row r="17">
      <c r="A17" s="26" t="inlineStr">
        <is>
          <t>TC-TASK-003</t>
        </is>
      </c>
      <c r="B17" s="19" t="inlineStr">
        <is>
          <t>Manajemen Tugas &amp; Parenting</t>
        </is>
      </c>
      <c r="C17" s="19" t="inlineStr">
        <is>
          <t>Pencatatan Obstacle &amp; Solution</t>
        </is>
      </c>
      <c r="D17" s="19" t="inlineStr">
        <is>
          <t>Functional</t>
        </is>
      </c>
      <c r="E17" s="19" t="inlineStr">
        <is>
          <t>Pencatatan kendala teknis (Obstacle) dan solusi penanganan pada task</t>
        </is>
      </c>
      <c r="F17" s="19" t="inlineStr">
        <is>
          <t>Task sedang berstatus 'In Progress'</t>
        </is>
      </c>
      <c r="G17" s="19" t="inlineStr">
        <is>
          <t>1. Buka modal edit / detail task
2. Tulis kendala pada field Kendala (Obstacle)
3. Tulis solusi pada field Solusi (Solution)
4. Simpan</t>
        </is>
      </c>
      <c r="H17" s="19" t="inlineStr">
        <is>
          <t>Obstacle: API Vendor timeout, Solution: Tambah timeout retry 3x</t>
        </is>
      </c>
      <c r="I17" s="18" t="inlineStr">
        <is>
          <t>Passed</t>
        </is>
      </c>
      <c r="J17" s="18" t="inlineStr">
        <is>
          <t>Medium</t>
        </is>
      </c>
      <c r="K17" s="19" t="inlineStr">
        <is>
          <t>Field tersimpan, badge warning kendala muncul di kartu list tugas</t>
        </is>
      </c>
      <c r="L17" s="19" t="inlineStr">
        <is>
          <t>Tercatat di DB dan tampil di view</t>
        </is>
      </c>
      <c r="M17" s="18" t="inlineStr">
        <is>
          <t>Manual UI</t>
        </is>
      </c>
      <c r="N17" s="18" t="inlineStr">
        <is>
          <t>QA Engineer B</t>
        </is>
      </c>
      <c r="O17" s="18" t="inlineStr">
        <is>
          <t>2026-10-04</t>
        </is>
      </c>
      <c r="P17" s="18" t="inlineStr"/>
      <c r="Q17" s="19" t="inlineStr">
        <is>
          <t>Verified</t>
        </is>
      </c>
    </row>
    <row r="18">
      <c r="A18" s="25" t="inlineStr">
        <is>
          <t>TC-TASK-004</t>
        </is>
      </c>
      <c r="B18" s="16" t="inlineStr">
        <is>
          <t>Manajemen Tugas &amp; Parenting</t>
        </is>
      </c>
      <c r="C18" s="16" t="inlineStr">
        <is>
          <t>Unified Task Save (Task + Timesheet)</t>
        </is>
      </c>
      <c r="D18" s="16" t="inlineStr">
        <is>
          <t>E2E Flow</t>
        </is>
      </c>
      <c r="E18" s="16" t="inlineStr">
        <is>
          <t>Menyimpan pembaruan status tugas sekaligus mencatat jam kerja timesheet dalam 1 form</t>
        </is>
      </c>
      <c r="F18" s="16" t="inlineStr">
        <is>
          <t>Task sedang dikerjakan</t>
        </is>
      </c>
      <c r="G18" s="16" t="inlineStr">
        <is>
          <t>1. Buka halaman Edit Task
2. Update status ke 'Done'
3. Isi input jam kerja manual 2.5 jam di bagian Timesheet terintegrasi
4. Simpan</t>
        </is>
      </c>
      <c r="H18" s="16" t="inlineStr">
        <is>
          <t>Task Status: Done, Hours: 2.5 jam, Note: Fix unit test</t>
        </is>
      </c>
      <c r="I18" s="15" t="inlineStr">
        <is>
          <t>Passed</t>
        </is>
      </c>
      <c r="J18" s="15" t="inlineStr">
        <is>
          <t>High</t>
        </is>
      </c>
      <c r="K18" s="16" t="inlineStr">
        <is>
          <t>Perubahan task tersimpan dan row baru di tabel Timesheets otomatis terbuat tanpa error</t>
        </is>
      </c>
      <c r="L18" s="16" t="inlineStr">
        <is>
          <t>Berhasil terintegrasi (Unified Save OK)</t>
        </is>
      </c>
      <c r="M18" s="15" t="inlineStr">
        <is>
          <t>Manual UI</t>
        </is>
      </c>
      <c r="N18" s="15" t="inlineStr">
        <is>
          <t>QA Engineer B</t>
        </is>
      </c>
      <c r="O18" s="15" t="inlineStr">
        <is>
          <t>2026-10-04</t>
        </is>
      </c>
      <c r="P18" s="15" t="inlineStr"/>
      <c r="Q18" s="16" t="inlineStr">
        <is>
          <t>Verified</t>
        </is>
      </c>
    </row>
    <row r="19">
      <c r="A19" s="26" t="inlineStr">
        <is>
          <t>TC-TASK-005</t>
        </is>
      </c>
      <c r="B19" s="19" t="inlineStr">
        <is>
          <t>Manajemen Tugas &amp; Parenting</t>
        </is>
      </c>
      <c r="C19" s="19" t="inlineStr">
        <is>
          <t>Filter &amp; Pencarian Lanjutan Tugas</t>
        </is>
      </c>
      <c r="D19" s="19" t="inlineStr">
        <is>
          <t>UI / Functional</t>
        </is>
      </c>
      <c r="E19" s="19" t="inlineStr">
        <is>
          <t>Memfilter tugas berdasarkan kombinasi Project, Assignee, Prioritas, Status, dan Rentang Waktu</t>
        </is>
      </c>
      <c r="F19" s="19" t="inlineStr">
        <is>
          <t>Ada minimal 20 task bervariasi di database</t>
        </is>
      </c>
      <c r="G19" s="19" t="inlineStr">
        <is>
          <t>1. Di halaman Tasks Index, gunakan dropdown filter
2. Filter Status='In Progress' dan Priority='High'
3. Cek hasil tabel AJAX</t>
        </is>
      </c>
      <c r="H19" s="19" t="inlineStr">
        <is>
          <t>Filter kombinasi multi-kriteria</t>
        </is>
      </c>
      <c r="I19" s="18" t="inlineStr">
        <is>
          <t>Passed</t>
        </is>
      </c>
      <c r="J19" s="18" t="inlineStr">
        <is>
          <t>Medium</t>
        </is>
      </c>
      <c r="K19" s="19" t="inlineStr">
        <is>
          <t>Tabel melakukan reload data via AJAX tanpa refresh halaman penuh (Zero reload), data sesuai filter</t>
        </is>
      </c>
      <c r="L19" s="19" t="inlineStr">
        <is>
          <t>ajax-grid-manager.js bekerja responsif</t>
        </is>
      </c>
      <c r="M19" s="18" t="inlineStr">
        <is>
          <t>Manual UI</t>
        </is>
      </c>
      <c r="N19" s="18" t="inlineStr">
        <is>
          <t>QA Engineer B</t>
        </is>
      </c>
      <c r="O19" s="18" t="inlineStr">
        <is>
          <t>2026-10-04</t>
        </is>
      </c>
      <c r="P19" s="18" t="inlineStr"/>
      <c r="Q19" s="19" t="inlineStr">
        <is>
          <t>Verified</t>
        </is>
      </c>
    </row>
    <row r="20">
      <c r="A20" s="25" t="inlineStr">
        <is>
          <t>TC-KANB-001</t>
        </is>
      </c>
      <c r="B20" s="16" t="inlineStr">
        <is>
          <t>Kanban Board Interaktif</t>
        </is>
      </c>
      <c r="C20" s="16" t="inlineStr">
        <is>
          <t>Drag-and-Drop Kartu Antar Kolom</t>
        </is>
      </c>
      <c r="D20" s="16" t="inlineStr">
        <is>
          <t>UI / Interactive</t>
        </is>
      </c>
      <c r="E20" s="16" t="inlineStr">
        <is>
          <t>Memindahkan kartu tugas antar kolom status (Backlog -&gt; To Do -&gt; In Progress -&gt; Review -&gt; Done)</t>
        </is>
      </c>
      <c r="F20" s="16" t="inlineStr">
        <is>
          <t>Halaman /Task/Kanban terbuka</t>
        </is>
      </c>
      <c r="G20" s="16" t="inlineStr">
        <is>
          <t>1. Klik dan tahan kartu tugas di kolom 'To Do'
2. Seret (drag) ke kolom 'In Progress'
3. Lepas mouse (drop)</t>
        </is>
      </c>
      <c r="H20" s="16" t="inlineStr">
        <is>
          <t>Task ID #15, Kolom target: In Progress</t>
        </is>
      </c>
      <c r="I20" s="15" t="inlineStr">
        <is>
          <t>Passed</t>
        </is>
      </c>
      <c r="J20" s="15" t="inlineStr">
        <is>
          <t>Critical</t>
        </is>
      </c>
      <c r="K20" s="16" t="inlineStr">
        <is>
          <t>Kartu berpindah posisi, request AJAX update status dikirim di background, toast notifikasi sukses muncul</t>
        </is>
      </c>
      <c r="L20" s="16" t="inlineStr">
        <is>
          <t>SortableJS drag-and-drop mulus</t>
        </is>
      </c>
      <c r="M20" s="15" t="inlineStr">
        <is>
          <t>Manual UI</t>
        </is>
      </c>
      <c r="N20" s="15" t="inlineStr">
        <is>
          <t>QA Engineer B</t>
        </is>
      </c>
      <c r="O20" s="15" t="inlineStr">
        <is>
          <t>2026-10-05</t>
        </is>
      </c>
      <c r="P20" s="15" t="inlineStr"/>
      <c r="Q20" s="16" t="inlineStr">
        <is>
          <t>Verified</t>
        </is>
      </c>
    </row>
    <row r="21">
      <c r="A21" s="26" t="inlineStr">
        <is>
          <t>TC-KANB-002</t>
        </is>
      </c>
      <c r="B21" s="19" t="inlineStr">
        <is>
          <t>Kanban Board Interaktif</t>
        </is>
      </c>
      <c r="C21" s="19" t="inlineStr">
        <is>
          <t>Optimistic UI &amp; Revert on Failure</t>
        </is>
      </c>
      <c r="D21" s="19" t="inlineStr">
        <is>
          <t>Resilience / Boundary</t>
        </is>
      </c>
      <c r="E21" s="19" t="inlineStr">
        <is>
          <t>Jika request update AJAX gagal (misal koneksi terputus), posisi kartu kembali ke kolom awal</t>
        </is>
      </c>
      <c r="F21" s="19" t="inlineStr">
        <is>
          <t>Matikan koneksi / simulasi HTTP 500</t>
        </is>
      </c>
      <c r="G21" s="19" t="inlineStr">
        <is>
          <t>1. Drag kartu ke kolom lain saat offline / network throttling Offline
2. Lepaskan kartu</t>
        </is>
      </c>
      <c r="H21" s="19" t="inlineStr">
        <is>
          <t>Status network: Offline</t>
        </is>
      </c>
      <c r="I21" s="18" t="inlineStr">
        <is>
          <t>In Progress</t>
        </is>
      </c>
      <c r="J21" s="18" t="inlineStr">
        <is>
          <t>High</t>
        </is>
      </c>
      <c r="K21" s="19" t="inlineStr">
        <is>
          <t>Muncul error toast, dan kartu otomatis dikembalikan ke posisi asal (rollback)</t>
        </is>
      </c>
      <c r="L21" s="19" t="inlineStr">
        <is>
          <t>Sedang diuji skenario network error</t>
        </is>
      </c>
      <c r="M21" s="18" t="inlineStr">
        <is>
          <t>Manual UI</t>
        </is>
      </c>
      <c r="N21" s="18" t="inlineStr">
        <is>
          <t>QA Engineer B</t>
        </is>
      </c>
      <c r="O21" s="18" t="inlineStr">
        <is>
          <t>2026-10-05</t>
        </is>
      </c>
      <c r="P21" s="18" t="inlineStr"/>
      <c r="Q21" s="19" t="inlineStr">
        <is>
          <t>Ongoing test</t>
        </is>
      </c>
    </row>
    <row r="22">
      <c r="A22" s="25" t="inlineStr">
        <is>
          <t>TC-KANB-003</t>
        </is>
      </c>
      <c r="B22" s="16" t="inlineStr">
        <is>
          <t>Kanban Board Interaktif</t>
        </is>
      </c>
      <c r="C22" s="16" t="inlineStr">
        <is>
          <t>Mobile Segmented Column Switcher</t>
        </is>
      </c>
      <c r="D22" s="16" t="inlineStr">
        <is>
          <t>UI / Responsive</t>
        </is>
      </c>
      <c r="E22" s="16" t="inlineStr">
        <is>
          <t>Pada layar smartphone (&lt;768px), kolom kanban dapat di-switch menggunakan segmented button</t>
        </is>
      </c>
      <c r="F22" s="16" t="inlineStr">
        <is>
          <t>Emulasi viewport mobile (375x812 iPhone / Android)</t>
        </is>
      </c>
      <c r="G22" s="16" t="inlineStr">
        <is>
          <t>1. Buka Kanban di mobile viewport
2. Tekan tombol tab 'In Progress' di segmented switcher</t>
        </is>
      </c>
      <c r="H22" s="16" t="inlineStr">
        <is>
          <t>Viewport width: 375px</t>
        </is>
      </c>
      <c r="I22" s="15" t="inlineStr">
        <is>
          <t>Passed</t>
        </is>
      </c>
      <c r="J22" s="15" t="inlineStr">
        <is>
          <t>Medium</t>
        </is>
      </c>
      <c r="K22" s="16" t="inlineStr">
        <is>
          <t>Hanya kolom 'In Progress' yang aktif ditampilkan penuh tanpa horizontal overflow yang merusak layout</t>
        </is>
      </c>
      <c r="L22" s="16" t="inlineStr">
        <is>
          <t>Segmented switcher mobile sangat ergonomis</t>
        </is>
      </c>
      <c r="M22" s="15" t="inlineStr">
        <is>
          <t>Manual UI</t>
        </is>
      </c>
      <c r="N22" s="15" t="inlineStr">
        <is>
          <t>QA Engineer B</t>
        </is>
      </c>
      <c r="O22" s="15" t="inlineStr">
        <is>
          <t>2026-10-05</t>
        </is>
      </c>
      <c r="P22" s="15" t="inlineStr"/>
      <c r="Q22" s="16" t="inlineStr">
        <is>
          <t>Verified</t>
        </is>
      </c>
    </row>
    <row r="23">
      <c r="A23" s="26" t="inlineStr">
        <is>
          <t>TC-TIME-001</t>
        </is>
      </c>
      <c r="B23" s="19" t="inlineStr">
        <is>
          <t>Timesheet &amp; Multi-Timer</t>
        </is>
      </c>
      <c r="C23" s="19" t="inlineStr">
        <is>
          <t>Start &amp; Stop Active Timer Tunggal</t>
        </is>
      </c>
      <c r="D23" s="19" t="inlineStr">
        <is>
          <t>E2E Flow</t>
        </is>
      </c>
      <c r="E23" s="19" t="inlineStr">
        <is>
          <t>Menjalankan timer aktif pada task dan menyimpannya ke timesheet saat distop</t>
        </is>
      </c>
      <c r="F23" s="19" t="inlineStr">
        <is>
          <t>Task berstatus aktif</t>
        </is>
      </c>
      <c r="G23" s="19" t="inlineStr">
        <is>
          <t>1. Klik tombol 'Mulai Timer' pada task
2. Amati ticker waktu berjalan di navbar
3. Klik tombol 'Stop Timer'
4. Isi catatan kerja</t>
        </is>
      </c>
      <c r="H23" s="19" t="inlineStr">
        <is>
          <t>Durasi uji: 3 menit, Catatan: Investigasi bug query</t>
        </is>
      </c>
      <c r="I23" s="18" t="inlineStr">
        <is>
          <t>Passed</t>
        </is>
      </c>
      <c r="J23" s="18" t="inlineStr">
        <is>
          <t>Critical</t>
        </is>
      </c>
      <c r="K23" s="19" t="inlineStr">
        <is>
          <t>Timer berhenti, durasi terkonversi ke jam desimal dan tercatat di Timesheets dengan akurat</t>
        </is>
      </c>
      <c r="L23" s="19" t="inlineStr">
        <is>
          <t>Pencatatan waktu akurat</t>
        </is>
      </c>
      <c r="M23" s="18" t="inlineStr">
        <is>
          <t>Manual UI</t>
        </is>
      </c>
      <c r="N23" s="18" t="inlineStr">
        <is>
          <t>QA Engineer C</t>
        </is>
      </c>
      <c r="O23" s="18" t="inlineStr">
        <is>
          <t>2026-10-05</t>
        </is>
      </c>
      <c r="P23" s="18" t="inlineStr"/>
      <c r="Q23" s="19" t="inlineStr">
        <is>
          <t>Verified</t>
        </is>
      </c>
    </row>
    <row r="24">
      <c r="A24" s="25" t="inlineStr">
        <is>
          <t>TC-TIME-002</t>
        </is>
      </c>
      <c r="B24" s="16" t="inlineStr">
        <is>
          <t>Timesheet &amp; Multi-Timer</t>
        </is>
      </c>
      <c r="C24" s="16" t="inlineStr">
        <is>
          <t>Multi-Timer Serentak (Concurrent Timers)</t>
        </is>
      </c>
      <c r="D24" s="16" t="inlineStr">
        <is>
          <t>E2E / Stress</t>
        </is>
      </c>
      <c r="E24" s="16" t="inlineStr">
        <is>
          <t>Pengguna dapat menjalankan 2 atau lebih timer tugas secara simultan tanpa saling menimpa</t>
        </is>
      </c>
      <c r="F24" s="16" t="inlineStr">
        <is>
          <t>Pengguna memiliki 3 tugas berbeda</t>
        </is>
      </c>
      <c r="G24" s="16" t="inlineStr">
        <is>
          <t>1. Klik 'Start Timer' pada Task A
2. Klik 'Start Timer' pada Task B
3. Buka halaman lain lalu kembali</t>
        </is>
      </c>
      <c r="H24" s="16" t="inlineStr">
        <is>
          <t>Task A ID: 21, Task B ID: 22</t>
        </is>
      </c>
      <c r="I24" s="15" t="inlineStr">
        <is>
          <t>Passed</t>
        </is>
      </c>
      <c r="J24" s="15" t="inlineStr">
        <is>
          <t>High</t>
        </is>
      </c>
      <c r="K24" s="16" t="inlineStr">
        <is>
          <t>Kedua timer tetap aktif berjalan serentak, waktu realtime tersinkronisasi via session / database active timers</t>
        </is>
      </c>
      <c r="L24" s="16" t="inlineStr">
        <is>
          <t>Multi-timer serentak berfungsi normal</t>
        </is>
      </c>
      <c r="M24" s="15" t="inlineStr">
        <is>
          <t>Manual UI</t>
        </is>
      </c>
      <c r="N24" s="15" t="inlineStr">
        <is>
          <t>QA Engineer C</t>
        </is>
      </c>
      <c r="O24" s="15" t="inlineStr">
        <is>
          <t>2026-10-05</t>
        </is>
      </c>
      <c r="P24" s="15" t="inlineStr"/>
      <c r="Q24" s="16" t="inlineStr">
        <is>
          <t>Verified</t>
        </is>
      </c>
    </row>
    <row r="25">
      <c r="A25" s="26" t="inlineStr">
        <is>
          <t>TC-TIME-003</t>
        </is>
      </c>
      <c r="B25" s="19" t="inlineStr">
        <is>
          <t>Timesheet &amp; Multi-Timer</t>
        </is>
      </c>
      <c r="C25" s="19" t="inlineStr">
        <is>
          <t>Entri Timesheet Manual</t>
        </is>
      </c>
      <c r="D25" s="19" t="inlineStr">
        <is>
          <t>Functional</t>
        </is>
      </c>
      <c r="E25" s="19" t="inlineStr">
        <is>
          <t>Menambahkan catatan jam kerja secara manual dengan tanggal, jam mulai, dan jam selesai</t>
        </is>
      </c>
      <c r="F25" s="19" t="inlineStr">
        <is>
          <t>Halaman /Timesheet terbuka</t>
        </is>
      </c>
      <c r="G25" s="19" t="inlineStr">
        <is>
          <t>1. Klik Tambah Log Manual
2. Pilih Proyek &amp; Tugas
3. Masukkan Tanggal, Jam 09:00 s.d. 12:30 (3.5 jam)
4. Simpan</t>
        </is>
      </c>
      <c r="H25" s="19" t="inlineStr">
        <is>
          <t>Tanggal: Hari ini, Jam: 09:00 - 12:30, Total: 3.5 Jam</t>
        </is>
      </c>
      <c r="I25" s="18" t="inlineStr">
        <is>
          <t>Passed</t>
        </is>
      </c>
      <c r="J25" s="18" t="inlineStr">
        <is>
          <t>High</t>
        </is>
      </c>
      <c r="K25" s="19" t="inlineStr">
        <is>
          <t>Log timesheet tersimpan, akumulasi jam kerja harian dan mingguan bertambah 3.5 jam</t>
        </is>
      </c>
      <c r="L25" s="19" t="inlineStr">
        <is>
          <t>Perhitungan selisih jam tepat</t>
        </is>
      </c>
      <c r="M25" s="18" t="inlineStr">
        <is>
          <t>Manual UI</t>
        </is>
      </c>
      <c r="N25" s="18" t="inlineStr">
        <is>
          <t>QA Engineer C</t>
        </is>
      </c>
      <c r="O25" s="18" t="inlineStr">
        <is>
          <t>2026-10-05</t>
        </is>
      </c>
      <c r="P25" s="18" t="inlineStr"/>
      <c r="Q25" s="19" t="inlineStr">
        <is>
          <t>Verified</t>
        </is>
      </c>
    </row>
    <row r="26">
      <c r="A26" s="25" t="inlineStr">
        <is>
          <t>TC-TIME-004</t>
        </is>
      </c>
      <c r="B26" s="16" t="inlineStr">
        <is>
          <t>Timesheet &amp; Multi-Timer</t>
        </is>
      </c>
      <c r="C26" s="16" t="inlineStr">
        <is>
          <t>Ekspor Laporan Personal Excel (.xlsx)</t>
        </is>
      </c>
      <c r="D26" s="16" t="inlineStr">
        <is>
          <t>Functional / File</t>
        </is>
      </c>
      <c r="E26" s="16" t="inlineStr">
        <is>
          <t>Ekspor laporan timesheet pengguna ke format Excel multi-sheet terproteksi dengan formula ClosedXML</t>
        </is>
      </c>
      <c r="F26" s="16" t="inlineStr">
        <is>
          <t>Ada data timesheet terisi dalam rentang bulan ini</t>
        </is>
      </c>
      <c r="G26" s="16" t="inlineStr">
        <is>
          <t>1. Buka Timesheet &gt; Ekspor Laporan Personal
2. Pilih rentang bulan
3. Klik Download Excel</t>
        </is>
      </c>
      <c r="H26" s="16" t="inlineStr">
        <is>
          <t>Filter: Bulan berjalan</t>
        </is>
      </c>
      <c r="I26" s="15" t="inlineStr">
        <is>
          <t>Passed</t>
        </is>
      </c>
      <c r="J26" s="15" t="inlineStr">
        <is>
          <t>High</t>
        </is>
      </c>
      <c r="K26" s="16" t="inlineStr">
        <is>
          <t>File .xlsx terunduh, format rapi, formula total jam kerja dan lembur aktif serta sheet dilindungi</t>
        </is>
      </c>
      <c r="L26" s="16" t="inlineStr">
        <is>
          <t>File Excel ClosedXML valid dan rapi</t>
        </is>
      </c>
      <c r="M26" s="15" t="inlineStr">
        <is>
          <t>Manual UI</t>
        </is>
      </c>
      <c r="N26" s="15" t="inlineStr">
        <is>
          <t>QA Engineer C</t>
        </is>
      </c>
      <c r="O26" s="15" t="inlineStr">
        <is>
          <t>2026-10-05</t>
        </is>
      </c>
      <c r="P26" s="15" t="inlineStr"/>
      <c r="Q26" s="16" t="inlineStr">
        <is>
          <t>Verified</t>
        </is>
      </c>
    </row>
    <row r="27">
      <c r="A27" s="26" t="inlineStr">
        <is>
          <t>TC-ATTD-001</t>
        </is>
      </c>
      <c r="B27" s="19" t="inlineStr">
        <is>
          <t>Presensi &amp; Rekonsiliasi Absensi</t>
        </is>
      </c>
      <c r="C27" s="19" t="inlineStr">
        <is>
          <t>Check-In Harian</t>
        </is>
      </c>
      <c r="D27" s="19" t="inlineStr">
        <is>
          <t>E2E Flow</t>
        </is>
      </c>
      <c r="E27" s="19" t="inlineStr">
        <is>
          <t>Pengguna melakukan check-in harian dengan tipe kerja (Office / WFH / On-Site) dan lokasi</t>
        </is>
      </c>
      <c r="F27" s="19" t="inlineStr">
        <is>
          <t>Pengguna belum check-in hari ini</t>
        </is>
      </c>
      <c r="G27" s="19" t="inlineStr">
        <is>
          <t>1. Buka menu Attendance
2. Pilih tipe: WFH
3. Tulis catatan opsional
4. Klik 'Check-In Sekarang'</t>
        </is>
      </c>
      <c r="H27" s="19" t="inlineStr">
        <is>
          <t>Tipe: WFH, Catatan: Kerja remote dari rumah</t>
        </is>
      </c>
      <c r="I27" s="18" t="inlineStr">
        <is>
          <t>Passed</t>
        </is>
      </c>
      <c r="J27" s="18" t="inlineStr">
        <is>
          <t>Critical</t>
        </is>
      </c>
      <c r="K27" s="19" t="inlineStr">
        <is>
          <t>Waktu check-in tercatat sesuai jam server, status hari ini berubah menjadi 'Checked In'</t>
        </is>
      </c>
      <c r="L27" s="19" t="inlineStr">
        <is>
          <t>Check-in berhasil tercatat</t>
        </is>
      </c>
      <c r="M27" s="18" t="inlineStr">
        <is>
          <t>Manual UI</t>
        </is>
      </c>
      <c r="N27" s="18" t="inlineStr">
        <is>
          <t>QA Engineer C</t>
        </is>
      </c>
      <c r="O27" s="18" t="inlineStr">
        <is>
          <t>2026-10-06</t>
        </is>
      </c>
      <c r="P27" s="18" t="inlineStr"/>
      <c r="Q27" s="19" t="inlineStr">
        <is>
          <t>Verified</t>
        </is>
      </c>
    </row>
    <row r="28">
      <c r="A28" s="25" t="inlineStr">
        <is>
          <t>TC-ATTD-002</t>
        </is>
      </c>
      <c r="B28" s="16" t="inlineStr">
        <is>
          <t>Presensi &amp; Rekonsiliasi Absensi</t>
        </is>
      </c>
      <c r="C28" s="16" t="inlineStr">
        <is>
          <t>Check-Out Harian &amp; Kalkulasi Jam Kerja</t>
        </is>
      </c>
      <c r="D28" s="16" t="inlineStr">
        <is>
          <t>Functional</t>
        </is>
      </c>
      <c r="E28" s="16" t="inlineStr">
        <is>
          <t>Pengguna melakukan check-out harian dan sistem mengkalkulasi durasi kerja efektif</t>
        </is>
      </c>
      <c r="F28" s="16" t="inlineStr">
        <is>
          <t>Pengguna sudah check-in sebelumnya</t>
        </is>
      </c>
      <c r="G28" s="16" t="inlineStr">
        <is>
          <t>1. Buka menu Attendance
2. Klik 'Check-Out Sekarang'
3. Konfirmasi dialog</t>
        </is>
      </c>
      <c r="H28" s="16" t="inlineStr">
        <is>
          <t>Waktu check-out jam sekarang</t>
        </is>
      </c>
      <c r="I28" s="15" t="inlineStr">
        <is>
          <t>Passed</t>
        </is>
      </c>
      <c r="J28" s="15" t="inlineStr">
        <is>
          <t>Critical</t>
        </is>
      </c>
      <c r="K28" s="16" t="inlineStr">
        <is>
          <t>Check-out tersimpan, total durasi jam kerja harian otomatis terhitung dan ditampilkan</t>
        </is>
      </c>
      <c r="L28" s="16" t="inlineStr">
        <is>
          <t>Durasi kerja terhitung otomatis</t>
        </is>
      </c>
      <c r="M28" s="15" t="inlineStr">
        <is>
          <t>Manual UI</t>
        </is>
      </c>
      <c r="N28" s="15" t="inlineStr">
        <is>
          <t>QA Engineer C</t>
        </is>
      </c>
      <c r="O28" s="15" t="inlineStr">
        <is>
          <t>2026-10-06</t>
        </is>
      </c>
      <c r="P28" s="15" t="inlineStr"/>
      <c r="Q28" s="16" t="inlineStr">
        <is>
          <t>Verified</t>
        </is>
      </c>
    </row>
    <row r="29">
      <c r="A29" s="26" t="inlineStr">
        <is>
          <t>TC-ATTD-003</t>
        </is>
      </c>
      <c r="B29" s="19" t="inlineStr">
        <is>
          <t>Presensi &amp; Rekonsiliasi Absensi</t>
        </is>
      </c>
      <c r="C29" s="19" t="inlineStr">
        <is>
          <t>Pengajuan Cuti / Izin / Sakit</t>
        </is>
      </c>
      <c r="D29" s="19" t="inlineStr">
        <is>
          <t>Functional</t>
        </is>
      </c>
      <c r="E29" s="19" t="inlineStr">
        <is>
          <t>Pengguna mengajukan izin sakit/cuti dengan mengunggah surat keterangan</t>
        </is>
      </c>
      <c r="F29" s="19" t="inlineStr">
        <is>
          <t>Halaman Pengajuan Presensi</t>
        </is>
      </c>
      <c r="G29" s="19" t="inlineStr">
        <is>
          <t>1. Klik Ajukan Ketidakhadiran
2. Pilih jenis 'Sakit'
3. Tentukan tanggal
4. Unggah foto surat dokter (.jpg)
5. Submit</t>
        </is>
      </c>
      <c r="H29" s="19" t="inlineStr">
        <is>
          <t>Jenis: Sakit, File: surat_dokter.jpg (800KB)</t>
        </is>
      </c>
      <c r="I29" s="18" t="inlineStr">
        <is>
          <t>Ready</t>
        </is>
      </c>
      <c r="J29" s="18" t="inlineStr">
        <is>
          <t>High</t>
        </is>
      </c>
      <c r="K29" s="19" t="inlineStr">
        <is>
          <t>Pengajuan tersimpan dengan status 'Menunggu Approval Manager', file terupload aman</t>
        </is>
      </c>
      <c r="L29" s="19" t="inlineStr"/>
      <c r="M29" s="18" t="inlineStr">
        <is>
          <t>Manual UI</t>
        </is>
      </c>
      <c r="N29" s="18" t="inlineStr">
        <is>
          <t>QA Engineer C</t>
        </is>
      </c>
      <c r="O29" s="18" t="inlineStr"/>
      <c r="P29" s="18" t="inlineStr"/>
      <c r="Q29" s="19" t="inlineStr">
        <is>
          <t>Siap diuji</t>
        </is>
      </c>
    </row>
    <row r="30">
      <c r="A30" s="25" t="inlineStr">
        <is>
          <t>TC-ATTD-004</t>
        </is>
      </c>
      <c r="B30" s="16" t="inlineStr">
        <is>
          <t>Presensi &amp; Rekonsiliasi Absensi</t>
        </is>
      </c>
      <c r="C30" s="16" t="inlineStr">
        <is>
          <t>Rekonsiliasi Absensi Tim oleh Manager</t>
        </is>
      </c>
      <c r="D30" s="16" t="inlineStr">
        <is>
          <t>RBAC / Workflow</t>
        </is>
      </c>
      <c r="E30" s="16" t="inlineStr">
        <is>
          <t>Manager/Admin menyetujui atau menolak permohonan izin/cuti dan koreksi presensi bawahan</t>
        </is>
      </c>
      <c r="F30" s="16" t="inlineStr">
        <is>
          <t>Login sebagai Manager; ada permohonan pending</t>
        </is>
      </c>
      <c r="G30" s="16" t="inlineStr">
        <is>
          <t>1. Buka menu Attendance &gt; Rekonsiliasi Tim
2. Pilih pengajuan anggota tim
3. Klik 'Approve'</t>
        </is>
      </c>
      <c r="H30" s="16" t="inlineStr">
        <is>
          <t>Request ID #5</t>
        </is>
      </c>
      <c r="I30" s="15" t="inlineStr">
        <is>
          <t>Ready</t>
        </is>
      </c>
      <c r="J30" s="15" t="inlineStr">
        <is>
          <t>High</t>
        </is>
      </c>
      <c r="K30" s="16" t="inlineStr">
        <is>
          <t>Status permohonan berubah menjadi 'Disetujui', rekap kehadiran tim langsung ter-update</t>
        </is>
      </c>
      <c r="L30" s="16" t="inlineStr"/>
      <c r="M30" s="15" t="inlineStr">
        <is>
          <t>Manual UI</t>
        </is>
      </c>
      <c r="N30" s="15" t="inlineStr">
        <is>
          <t>QA Engineer C</t>
        </is>
      </c>
      <c r="O30" s="15" t="inlineStr"/>
      <c r="P30" s="15" t="inlineStr"/>
      <c r="Q30" s="16" t="inlineStr">
        <is>
          <t>Siap diuji</t>
        </is>
      </c>
    </row>
    <row r="31">
      <c r="A31" s="26" t="inlineStr">
        <is>
          <t>TC-NOTE-001</t>
        </is>
      </c>
      <c r="B31" s="19" t="inlineStr">
        <is>
          <t>Catatan &amp; Upload File Terisolasi</t>
        </is>
      </c>
      <c r="C31" s="19" t="inlineStr">
        <is>
          <t>Create Note dengan Quill.js Rich Text</t>
        </is>
      </c>
      <c r="D31" s="19" t="inlineStr">
        <is>
          <t>Functional</t>
        </is>
      </c>
      <c r="E31" s="19" t="inlineStr">
        <is>
          <t>Membuat catatan baru lengkap dengan formatting tebal, miring, list, dan link</t>
        </is>
      </c>
      <c r="F31" s="19" t="inlineStr">
        <is>
          <t>Halaman /Note terbuka</t>
        </is>
      </c>
      <c r="G31" s="19" t="inlineStr">
        <is>
          <t>1. Klik Tambah Catatan
2. Masukkan Judul Catatan
3. Tulis konten menggunakan editor Quill.js
4. Simpan</t>
        </is>
      </c>
      <c r="H31" s="19" t="inlineStr">
        <is>
          <t>Judul: Spesifikasi Arsitektur v3.7, Konten: formatted HTML</t>
        </is>
      </c>
      <c r="I31" s="18" t="inlineStr">
        <is>
          <t>Passed</t>
        </is>
      </c>
      <c r="J31" s="18" t="inlineStr">
        <is>
          <t>Medium</t>
        </is>
      </c>
      <c r="K31" s="19" t="inlineStr">
        <is>
          <t>Catatan tersimpan dengan format styling utuh dan aman dari script injection (XSS sanitized)</t>
        </is>
      </c>
      <c r="L31" s="19" t="inlineStr">
        <is>
          <t>Quill editor berfungsi baik, tersimpan rapi</t>
        </is>
      </c>
      <c r="M31" s="18" t="inlineStr">
        <is>
          <t>Manual UI</t>
        </is>
      </c>
      <c r="N31" s="18" t="inlineStr">
        <is>
          <t>QA Engineer C</t>
        </is>
      </c>
      <c r="O31" s="18" t="inlineStr">
        <is>
          <t>2026-10-06</t>
        </is>
      </c>
      <c r="P31" s="18" t="inlineStr"/>
      <c r="Q31" s="19" t="inlineStr">
        <is>
          <t>Verified</t>
        </is>
      </c>
    </row>
    <row r="32">
      <c r="A32" s="25" t="inlineStr">
        <is>
          <t>TC-NOTE-002</t>
        </is>
      </c>
      <c r="B32" s="16" t="inlineStr">
        <is>
          <t>Catatan &amp; Upload File Terisolasi</t>
        </is>
      </c>
      <c r="C32" s="16" t="inlineStr">
        <is>
          <t>Multi-File Upload Terisolasi Folder User</t>
        </is>
      </c>
      <c r="D32" s="16" t="inlineStr">
        <is>
          <t>Security / File</t>
        </is>
      </c>
      <c r="E32" s="16" t="inlineStr">
        <is>
          <t>Unggah multi-file lampiran tersimpan di folder terisolasi /uploads/notes/{username}/</t>
        </is>
      </c>
      <c r="F32" s="16" t="inlineStr">
        <is>
          <t>Catatan sedang diedit</t>
        </is>
      </c>
      <c r="G32" s="16" t="inlineStr">
        <is>
          <t>1. Klik tombol Unggah Lampiran
2. Pilih 3 file: file1.pdf, file2.png, file3.docx
3. Klik Upload</t>
        </is>
      </c>
      <c r="H32" s="16" t="inlineStr">
        <is>
          <t>Username: john_qa, Files: 3 berkas lampiran</t>
        </is>
      </c>
      <c r="I32" s="15" t="inlineStr">
        <is>
          <t>Passed</t>
        </is>
      </c>
      <c r="J32" s="15" t="inlineStr">
        <is>
          <t>High</t>
        </is>
      </c>
      <c r="K32" s="16" t="inlineStr">
        <is>
          <t>Semua file tersimpan secara fisik di wwwroot/uploads/notes/john_qa/ tanpa tabrakan nama file (UUID/Timestamped)</t>
        </is>
      </c>
      <c r="L32" s="16" t="inlineStr">
        <is>
          <t>File terisolasi per folder username</t>
        </is>
      </c>
      <c r="M32" s="15" t="inlineStr">
        <is>
          <t>Manual UI</t>
        </is>
      </c>
      <c r="N32" s="15" t="inlineStr">
        <is>
          <t>QA Engineer C</t>
        </is>
      </c>
      <c r="O32" s="15" t="inlineStr">
        <is>
          <t>2026-10-06</t>
        </is>
      </c>
      <c r="P32" s="15" t="inlineStr"/>
      <c r="Q32" s="16" t="inlineStr">
        <is>
          <t>Verified</t>
        </is>
      </c>
    </row>
    <row r="33">
      <c r="A33" s="26" t="inlineStr">
        <is>
          <t>TC-NOTE-003</t>
        </is>
      </c>
      <c r="B33" s="19" t="inlineStr">
        <is>
          <t>Catatan &amp; Upload File Terisolasi</t>
        </is>
      </c>
      <c r="C33" s="19" t="inlineStr">
        <is>
          <t>Proteksi Path Traversal pada Download/Hapus</t>
        </is>
      </c>
      <c r="D33" s="19" t="inlineStr">
        <is>
          <t>Security</t>
        </is>
      </c>
      <c r="E33" s="19" t="inlineStr">
        <is>
          <t>Mencegah eksploitasi path traversal (../) pada akses file attachment</t>
        </is>
      </c>
      <c r="F33" s="19" t="inlineStr">
        <is>
          <t>File attachment tersimpan di sistem</t>
        </is>
      </c>
      <c r="G33" s="19" t="inlineStr">
        <is>
          <t>1. Kirim request GET /Note/DownloadFile?path=../../appsettings.json via Postman</t>
        </is>
      </c>
      <c r="H33" s="19" t="inlineStr">
        <is>
          <t>Payload: ../../appsettings.json</t>
        </is>
      </c>
      <c r="I33" s="18" t="inlineStr">
        <is>
          <t>Passed</t>
        </is>
      </c>
      <c r="J33" s="18" t="inlineStr">
        <is>
          <t>Critical</t>
        </is>
      </c>
      <c r="K33" s="19" t="inlineStr">
        <is>
          <t>Request ditolak dengan HTTP 400 Bad Request atau 404; file sistem sensitif tidak dapat diakses</t>
        </is>
      </c>
      <c r="L33" s="19" t="inlineStr">
        <is>
          <t>Path traversal validation berfungsi kuat</t>
        </is>
      </c>
      <c r="M33" s="18" t="inlineStr">
        <is>
          <t>API Postman</t>
        </is>
      </c>
      <c r="N33" s="18" t="inlineStr">
        <is>
          <t>QA Specialist E</t>
        </is>
      </c>
      <c r="O33" s="18" t="inlineStr">
        <is>
          <t>2026-10-06</t>
        </is>
      </c>
      <c r="P33" s="18" t="inlineStr"/>
      <c r="Q33" s="19" t="inlineStr">
        <is>
          <t>Verified</t>
        </is>
      </c>
    </row>
    <row r="34">
      <c r="A34" s="25" t="inlineStr">
        <is>
          <t>TC-EXCL-001</t>
        </is>
      </c>
      <c r="B34" s="16" t="inlineStr">
        <is>
          <t>Import &amp; Export Excel (Standard &amp; ARMS)</t>
        </is>
      </c>
      <c r="C34" s="16" t="inlineStr">
        <is>
          <t>Ekspor Excel Format Standar (9 Kolom)</t>
        </is>
      </c>
      <c r="D34" s="16" t="inlineStr">
        <is>
          <t>Functional</t>
        </is>
      </c>
      <c r="E34" s="16" t="inlineStr">
        <is>
          <t>Ekspor seluruh tugas atau berdasarkan filter periode ke format spreadsheet standar 9-kolom</t>
        </is>
      </c>
      <c r="F34" s="16" t="inlineStr">
        <is>
          <t>Data tugas tersedia di database</t>
        </is>
      </c>
      <c r="G34" s="16" t="inlineStr">
        <is>
          <t>1. Buka menu Import/Export
2. Pilih format: Standar 9-Kolom
3. Tentukan rentang tanggal 1 bulan terakhir
4. Klik Ekspor</t>
        </is>
      </c>
      <c r="H34" s="16" t="inlineStr">
        <is>
          <t>Filter rentang: 2026-09-01 s.d. 2026-09-30</t>
        </is>
      </c>
      <c r="I34" s="15" t="inlineStr">
        <is>
          <t>Passed</t>
        </is>
      </c>
      <c r="J34" s="15" t="inlineStr">
        <is>
          <t>High</t>
        </is>
      </c>
      <c r="K34" s="16" t="inlineStr">
        <is>
          <t>File .xlsx terunduh dengan 9 kolom standar (ID, Judul, Proyek, Status, Prioritas, Estimasi, Actual, PIC, Deadline)</t>
        </is>
      </c>
      <c r="L34" s="16" t="inlineStr">
        <is>
          <t>File valid, data lengkap</t>
        </is>
      </c>
      <c r="M34" s="15" t="inlineStr">
        <is>
          <t>Manual UI</t>
        </is>
      </c>
      <c r="N34" s="15" t="inlineStr">
        <is>
          <t>QA Engineer D</t>
        </is>
      </c>
      <c r="O34" s="15" t="inlineStr">
        <is>
          <t>2026-10-07</t>
        </is>
      </c>
      <c r="P34" s="15" t="inlineStr"/>
      <c r="Q34" s="16" t="inlineStr">
        <is>
          <t>Verified</t>
        </is>
      </c>
    </row>
    <row r="35">
      <c r="A35" s="26" t="inlineStr">
        <is>
          <t>TC-EXCL-002</t>
        </is>
      </c>
      <c r="B35" s="19" t="inlineStr">
        <is>
          <t>Import &amp; Export Excel (Standard &amp; ARMS)</t>
        </is>
      </c>
      <c r="C35" s="19" t="inlineStr">
        <is>
          <t>Ekspor Excel Format ARMS Enterprise (21 Kolom)</t>
        </is>
      </c>
      <c r="D35" s="19" t="inlineStr">
        <is>
          <t>Functional</t>
        </is>
      </c>
      <c r="E35" s="19" t="inlineStr">
        <is>
          <t>Ekspor data ke format ARMS spesifik enterprise dengan 21 kolom komprehensif</t>
        </is>
      </c>
      <c r="F35" s="19" t="inlineStr">
        <is>
          <t>Data tugas dengan obstacle, solution, milestone tersedia</t>
        </is>
      </c>
      <c r="G35" s="19" t="inlineStr">
        <is>
          <t>1. Buka menu Import/Export
2. Pilih format: ARMS Enterprise (21 Kolom)
3. Klik Ekspor</t>
        </is>
      </c>
      <c r="H35" s="19" t="inlineStr">
        <is>
          <t>Format: ARMS 21-kolom</t>
        </is>
      </c>
      <c r="I35" s="18" t="inlineStr">
        <is>
          <t>Passed</t>
        </is>
      </c>
      <c r="J35" s="18" t="inlineStr">
        <is>
          <t>Critical</t>
        </is>
      </c>
      <c r="K35" s="19" t="inlineStr">
        <is>
          <t>File .xlsx terunduh dengan struktur 21 kolom persis sesuai template ARMS spesifikasi</t>
        </is>
      </c>
      <c r="L35" s="19" t="inlineStr">
        <is>
          <t>21 Kolom ter-render presisi</t>
        </is>
      </c>
      <c r="M35" s="18" t="inlineStr">
        <is>
          <t>Manual UI</t>
        </is>
      </c>
      <c r="N35" s="18" t="inlineStr">
        <is>
          <t>QA Engineer D</t>
        </is>
      </c>
      <c r="O35" s="18" t="inlineStr">
        <is>
          <t>2026-10-07</t>
        </is>
      </c>
      <c r="P35" s="18" t="inlineStr"/>
      <c r="Q35" s="19" t="inlineStr">
        <is>
          <t>Verified</t>
        </is>
      </c>
    </row>
    <row r="36">
      <c r="A36" s="25" t="inlineStr">
        <is>
          <t>TC-EXCL-003</t>
        </is>
      </c>
      <c r="B36" s="16" t="inlineStr">
        <is>
          <t>Import &amp; Export Excel (Standard &amp; ARMS)</t>
        </is>
      </c>
      <c r="C36" s="16" t="inlineStr">
        <is>
          <t>Impor Excel ARMS dengan Validasi &amp; Preview</t>
        </is>
      </c>
      <c r="D36" s="16" t="inlineStr">
        <is>
          <t>E2E Flow</t>
        </is>
      </c>
      <c r="E36" s="16" t="inlineStr">
        <is>
          <t>Mengunggah file Excel ARMS, sistem memvalidasi isi baris, menampilkan preview, lalu mengimpor ke DB</t>
        </is>
      </c>
      <c r="F36" s="16" t="inlineStr">
        <is>
          <t>File template ARMS terisi 10 baris tugas valid</t>
        </is>
      </c>
      <c r="G36" s="16" t="inlineStr">
        <is>
          <t>1. Buka menu Impor Excel
2. Unggah file arms_data.xlsx
3. Klik 'Pratinjau (Preview)'
4. Periksa tabel review
5. Klik 'Konfirmasi Impor'</t>
        </is>
      </c>
      <c r="H36" s="16" t="inlineStr">
        <is>
          <t>File: arms_data.xlsx (10 rows)</t>
        </is>
      </c>
      <c r="I36" s="15" t="inlineStr">
        <is>
          <t>Passed</t>
        </is>
      </c>
      <c r="J36" s="15" t="inlineStr">
        <is>
          <t>Critical</t>
        </is>
      </c>
      <c r="K36" s="16" t="inlineStr">
        <is>
          <t>10 tugas baru berhasil masuk ke database SQLite tanpa duplikasi dan relasi proyek terbentuk benar</t>
        </is>
      </c>
      <c r="L36" s="16" t="inlineStr">
        <is>
          <t>Import lancar, 10 baris masuk utuh</t>
        </is>
      </c>
      <c r="M36" s="15" t="inlineStr">
        <is>
          <t>Manual UI</t>
        </is>
      </c>
      <c r="N36" s="15" t="inlineStr">
        <is>
          <t>QA Engineer D</t>
        </is>
      </c>
      <c r="O36" s="15" t="inlineStr">
        <is>
          <t>2026-10-07</t>
        </is>
      </c>
      <c r="P36" s="15" t="inlineStr"/>
      <c r="Q36" s="16" t="inlineStr">
        <is>
          <t>Verified</t>
        </is>
      </c>
    </row>
    <row r="37">
      <c r="A37" s="26" t="inlineStr">
        <is>
          <t>TC-EXCL-004</t>
        </is>
      </c>
      <c r="B37" s="19" t="inlineStr">
        <is>
          <t>Import &amp; Export Excel (Standard &amp; ARMS)</t>
        </is>
      </c>
      <c r="C37" s="19" t="inlineStr">
        <is>
          <t>Validasi Error Handling File Corrupt / Wrong Format</t>
        </is>
      </c>
      <c r="D37" s="19" t="inlineStr">
        <is>
          <t>Negative</t>
        </is>
      </c>
      <c r="E37" s="19" t="inlineStr">
        <is>
          <t>Sistem menolak file bukan Excel atau struktur sheet rusak dengan pesan ramah pengguna</t>
        </is>
      </c>
      <c r="F37" s="19" t="inlineStr">
        <is>
          <t>File berkas teks .txt yang diubah ekstensi jadi .xlsx atau sheet kosong</t>
        </is>
      </c>
      <c r="G37" s="19" t="inlineStr">
        <is>
          <t>1. Unggah file invalid.xlsx pada form Impor
2. Klik Pratinjau</t>
        </is>
      </c>
      <c r="H37" s="19" t="inlineStr">
        <is>
          <t>File rusak / corruped</t>
        </is>
      </c>
      <c r="I37" s="18" t="inlineStr">
        <is>
          <t>Passed</t>
        </is>
      </c>
      <c r="J37" s="18" t="inlineStr">
        <is>
          <t>Medium</t>
        </is>
      </c>
      <c r="K37" s="19" t="inlineStr">
        <is>
          <t>Sistem menampilkan alert error: 'Format file tidak sesuai skema template yang didukung' tanpa crash HTTP 500</t>
        </is>
      </c>
      <c r="L37" s="19" t="inlineStr">
        <is>
          <t>Error handling ClosedXML terjaga rapi</t>
        </is>
      </c>
      <c r="M37" s="18" t="inlineStr">
        <is>
          <t>Manual UI</t>
        </is>
      </c>
      <c r="N37" s="18" t="inlineStr">
        <is>
          <t>QA Engineer D</t>
        </is>
      </c>
      <c r="O37" s="18" t="inlineStr">
        <is>
          <t>2026-10-07</t>
        </is>
      </c>
      <c r="P37" s="18" t="inlineStr"/>
      <c r="Q37" s="19" t="inlineStr">
        <is>
          <t>Verified</t>
        </is>
      </c>
    </row>
    <row r="38">
      <c r="A38" s="25" t="inlineStr">
        <is>
          <t>TC-MEMB-001</t>
        </is>
      </c>
      <c r="B38" s="16" t="inlineStr">
        <is>
          <t>Anggota Tim &amp; Profil Direktori</t>
        </is>
      </c>
      <c r="C38" s="16" t="inlineStr">
        <is>
          <t>Pure Grid Card Direktori &amp; Live Search</t>
        </is>
      </c>
      <c r="D38" s="16" t="inlineStr">
        <is>
          <t>UI / Interactive</t>
        </is>
      </c>
      <c r="E38" s="16" t="inlineStr">
        <is>
          <t>Menampilkan daftar rekan tim dalam layout Pure Grid Card dengan fitur live search cepat</t>
        </is>
      </c>
      <c r="F38" s="16" t="inlineStr">
        <is>
          <t>Halaman /Member terbuka</t>
        </is>
      </c>
      <c r="G38" s="16" t="inlineStr">
        <is>
          <t>1. Buka menu Team Members
2. Ketik nama 'Alex' di kolom pencarian cepat</t>
        </is>
      </c>
      <c r="H38" s="16" t="inlineStr">
        <is>
          <t>Kata kunci: 'Alex'</t>
        </is>
      </c>
      <c r="I38" s="15" t="inlineStr">
        <is>
          <t>Passed</t>
        </is>
      </c>
      <c r="J38" s="15" t="inlineStr">
        <is>
          <t>Medium</t>
        </is>
      </c>
      <c r="K38" s="16" t="inlineStr">
        <is>
          <t>Kartu grid otomatis terfilter secara instan hanya menampilkan anggota yang cocok</t>
        </is>
      </c>
      <c r="L38" s="16" t="inlineStr">
        <is>
          <t>Pencarian instan dan grid rapi</t>
        </is>
      </c>
      <c r="M38" s="15" t="inlineStr">
        <is>
          <t>Manual UI</t>
        </is>
      </c>
      <c r="N38" s="15" t="inlineStr">
        <is>
          <t>QA Engineer D</t>
        </is>
      </c>
      <c r="O38" s="15" t="inlineStr">
        <is>
          <t>2026-10-07</t>
        </is>
      </c>
      <c r="P38" s="15" t="inlineStr"/>
      <c r="Q38" s="16" t="inlineStr">
        <is>
          <t>Verified</t>
        </is>
      </c>
    </row>
    <row r="39">
      <c r="A39" s="26" t="inlineStr">
        <is>
          <t>TC-MEMB-002</t>
        </is>
      </c>
      <c r="B39" s="19" t="inlineStr">
        <is>
          <t>Anggota Tim &amp; Profil Direktori</t>
        </is>
      </c>
      <c r="C39" s="19" t="inlineStr">
        <is>
          <t>Upload Foto Profil &amp; Cover Banner</t>
        </is>
      </c>
      <c r="D39" s="19" t="inlineStr">
        <is>
          <t>Functional</t>
        </is>
      </c>
      <c r="E39" s="19" t="inlineStr">
        <is>
          <t>Pengguna memperbarui foto avatar dan foto cover banner pada profil pribadi</t>
        </is>
      </c>
      <c r="F39" s="19" t="inlineStr">
        <is>
          <t>Halaman /Account/Profile</t>
        </is>
      </c>
      <c r="G39" s="19" t="inlineStr">
        <is>
          <t>1. Klik ganti Avatar (pilih avatar.png)
2. Klik ganti Cover Banner (pilih banner.jpg)
3. Simpan Profil</t>
        </is>
      </c>
      <c r="H39" s="19" t="inlineStr">
        <is>
          <t>Avatar: 200x200px, Cover: 1200x300px</t>
        </is>
      </c>
      <c r="I39" s="18" t="inlineStr">
        <is>
          <t>Passed</t>
        </is>
      </c>
      <c r="J39" s="18" t="inlineStr">
        <is>
          <t>Medium</t>
        </is>
      </c>
      <c r="K39" s="19" t="inlineStr">
        <is>
          <t>Gambar tersimpan di /uploads/avatars/ dan /uploads/covers/, tampilan profil langsung ter-update</t>
        </is>
      </c>
      <c r="L39" s="19" t="inlineStr">
        <is>
          <t>Upload gambar profil sukses</t>
        </is>
      </c>
      <c r="M39" s="18" t="inlineStr">
        <is>
          <t>Manual UI</t>
        </is>
      </c>
      <c r="N39" s="18" t="inlineStr">
        <is>
          <t>QA Engineer D</t>
        </is>
      </c>
      <c r="O39" s="18" t="inlineStr">
        <is>
          <t>2026-10-07</t>
        </is>
      </c>
      <c r="P39" s="18" t="inlineStr"/>
      <c r="Q39" s="19" t="inlineStr">
        <is>
          <t>Verified</t>
        </is>
      </c>
    </row>
    <row r="40">
      <c r="A40" s="25" t="inlineStr">
        <is>
          <t>TC-MEMB-003</t>
        </is>
      </c>
      <c r="B40" s="16" t="inlineStr">
        <is>
          <t>Anggota Tim &amp; Profil Direktori</t>
        </is>
      </c>
      <c r="C40" s="16" t="inlineStr">
        <is>
          <t>Hapus Permanen Akun (Admin &amp; Self-Delete)</t>
        </is>
      </c>
      <c r="D40" s="16" t="inlineStr">
        <is>
          <t>Security / Data</t>
        </is>
      </c>
      <c r="E40" s="16" t="inlineStr">
        <is>
          <t>Penghapusan akun membersihkan foreign key atau menganonimkan tugas terkait tanpa merusak referensial integritas DB</t>
        </is>
      </c>
      <c r="F40" s="16" t="inlineStr">
        <is>
          <t>Akun tester dummy yang memiliki relasi tugas</t>
        </is>
      </c>
      <c r="G40" s="16" t="inlineStr">
        <is>
          <t>1. Login Admin
2. Buka menu Member &gt; Aksi Hapus Akun
3. Konfirmasi teks 'HAPUS'
4. Submit</t>
        </is>
      </c>
      <c r="H40" s="16" t="inlineStr">
        <is>
          <t>Target user ID: tester_dummy</t>
        </is>
      </c>
      <c r="I40" s="15" t="inlineStr">
        <is>
          <t>Passed</t>
        </is>
      </c>
      <c r="J40" s="15" t="inlineStr">
        <is>
          <t>Critical</t>
        </is>
      </c>
      <c r="K40" s="16" t="inlineStr">
        <is>
          <t>Akun terhapus, data tugas tetap terjaga (relasi diset null/anonim), tidak terjadi SQLite foreign key constraint exception</t>
        </is>
      </c>
      <c r="L40" s="16" t="inlineStr">
        <is>
          <t>Verifikasi self-delete &amp; admin delete lolos</t>
        </is>
      </c>
      <c r="M40" s="15" t="inlineStr">
        <is>
          <t>Manual UI</t>
        </is>
      </c>
      <c r="N40" s="15" t="inlineStr">
        <is>
          <t>QA Engineer D</t>
        </is>
      </c>
      <c r="O40" s="15" t="inlineStr">
        <is>
          <t>2026-10-07</t>
        </is>
      </c>
      <c r="P40" s="15" t="inlineStr"/>
      <c r="Q40" s="16" t="inlineStr">
        <is>
          <t>Verified</t>
        </is>
      </c>
    </row>
    <row r="41">
      <c r="A41" s="26" t="inlineStr">
        <is>
          <t>TC-CAL-001</t>
        </is>
      </c>
      <c r="B41" s="19" t="inlineStr">
        <is>
          <t>Kalender Tugas Interaktif</t>
        </is>
      </c>
      <c r="C41" s="19" t="inlineStr">
        <is>
          <t>Render Kalender FullCalendar dengan Event Tugas</t>
        </is>
      </c>
      <c r="D41" s="19" t="inlineStr">
        <is>
          <t>UI / Interactive</t>
        </is>
      </c>
      <c r="E41" s="19" t="inlineStr">
        <is>
          <t>Menampilkan kalender bulanan dengan badge event tugas berdasarkan tenggat waktu (deadline)</t>
        </is>
      </c>
      <c r="F41" s="19" t="inlineStr">
        <is>
          <t>Ada minimal 5 tugas dengan deadline bulan ini</t>
        </is>
      </c>
      <c r="G41" s="19" t="inlineStr">
        <is>
          <t>1. Buka menu Calendar
2. Amati event di tanggal-tanggal tertentu
3. Klik salah satu event tugas</t>
        </is>
      </c>
      <c r="H41" s="19" t="inlineStr">
        <is>
          <t>Event bulan berjalan</t>
        </is>
      </c>
      <c r="I41" s="18" t="inlineStr">
        <is>
          <t>Passed</t>
        </is>
      </c>
      <c r="J41" s="18" t="inlineStr">
        <is>
          <t>Medium</t>
        </is>
      </c>
      <c r="K41" s="19" t="inlineStr">
        <is>
          <t>Kalender ter-render sempurna, klik event memunculkan modal detail singkat tugas beserta link ke edit</t>
        </is>
      </c>
      <c r="L41" s="19" t="inlineStr">
        <is>
          <t>FullCalendar bekerja mulus</t>
        </is>
      </c>
      <c r="M41" s="18" t="inlineStr">
        <is>
          <t>Manual UI</t>
        </is>
      </c>
      <c r="N41" s="18" t="inlineStr">
        <is>
          <t>QA Engineer B</t>
        </is>
      </c>
      <c r="O41" s="18" t="inlineStr">
        <is>
          <t>2026-10-07</t>
        </is>
      </c>
      <c r="P41" s="18" t="inlineStr"/>
      <c r="Q41" s="19" t="inlineStr">
        <is>
          <t>Verified</t>
        </is>
      </c>
    </row>
    <row r="42">
      <c r="A42" s="25" t="inlineStr">
        <is>
          <t>TC-CAL-002</t>
        </is>
      </c>
      <c r="B42" s="16" t="inlineStr">
        <is>
          <t>Kalender Tugas Interaktif</t>
        </is>
      </c>
      <c r="C42" s="16" t="inlineStr">
        <is>
          <t>Role-Based Scope Filter (Pribadi vs Seluruh Tim)</t>
        </is>
      </c>
      <c r="D42" s="16" t="inlineStr">
        <is>
          <t>RBAC / Security</t>
        </is>
      </c>
      <c r="E42" s="16" t="inlineStr">
        <is>
          <t>User biasa hanya dapat melihat tugasnya sendiri, Admin dapat melihat tugas seluruh anggota tim</t>
        </is>
      </c>
      <c r="F42" s="16" t="inlineStr">
        <is>
          <t>Login User biasa vs Login Admin</t>
        </is>
      </c>
      <c r="G42" s="16" t="inlineStr">
        <is>
          <t>1. Pada User biasa, cek toggle scope (tidak tersedia / terkunci tugas pribadi)
2. Pada Admin, aktifkan toggle 'Tampilkan Seluruh Tim'</t>
        </is>
      </c>
      <c r="H42" s="16" t="inlineStr">
        <is>
          <t>Scope: Personal vs Team</t>
        </is>
      </c>
      <c r="I42" s="15" t="inlineStr">
        <is>
          <t>Passed</t>
        </is>
      </c>
      <c r="J42" s="15" t="inlineStr">
        <is>
          <t>High</t>
        </is>
      </c>
      <c r="K42" s="16" t="inlineStr">
        <is>
          <t>User biasa hanya melihat tugas sendiri di kalender; Admin dapat melihat seluruh tugas tim dengan warna penanda per user</t>
        </is>
      </c>
      <c r="L42" s="16" t="inlineStr">
        <is>
          <t>Filter role scope bekerja tepat</t>
        </is>
      </c>
      <c r="M42" s="15" t="inlineStr">
        <is>
          <t>Manual UI</t>
        </is>
      </c>
      <c r="N42" s="15" t="inlineStr">
        <is>
          <t>QA Engineer B</t>
        </is>
      </c>
      <c r="O42" s="15" t="inlineStr">
        <is>
          <t>2026-10-07</t>
        </is>
      </c>
      <c r="P42" s="15" t="inlineStr"/>
      <c r="Q42" s="16" t="inlineStr">
        <is>
          <t>Verified</t>
        </is>
      </c>
    </row>
    <row r="43">
      <c r="A43" s="26" t="inlineStr">
        <is>
          <t>TC-DEV-001</t>
        </is>
      </c>
      <c r="B43" s="19" t="inlineStr">
        <is>
          <t>Developer Tools (SQL &amp; JSON)</t>
        </is>
      </c>
      <c r="C43" s="19" t="inlineStr">
        <is>
          <t>SQL Beautifier &amp; Minifier (15+ Dialek)</t>
        </is>
      </c>
      <c r="D43" s="19" t="inlineStr">
        <is>
          <t>Functional</t>
        </is>
      </c>
      <c r="E43" s="19" t="inlineStr">
        <is>
          <t>Memformat kueri SQL acak-acakan menjadi rapi atau minified untuk berbagai dialek database</t>
        </is>
      </c>
      <c r="F43" s="19" t="inlineStr">
        <is>
          <t>Halaman /SqlTools terbuka</t>
        </is>
      </c>
      <c r="G43" s="19" t="inlineStr">
        <is>
          <t>1. Tempel kueri SQL panjang satu baris
2. Pilih dialek PostgreSQL
3. Klik 'Format SQL'
4. Klik 'Minify SQL'</t>
        </is>
      </c>
      <c r="H43" s="19" t="inlineStr">
        <is>
          <t>Kueri: SELECT u.id, u.name, t.title FROM users u JOIN tasks t ON u.id=t.user_id WHERE t.status=1</t>
        </is>
      </c>
      <c r="I43" s="18" t="inlineStr">
        <is>
          <t>Passed</t>
        </is>
      </c>
      <c r="J43" s="18" t="inlineStr">
        <is>
          <t>Medium</t>
        </is>
      </c>
      <c r="K43" s="19" t="inlineStr">
        <is>
          <t>SQL terformat rapi dengan indentasi konsisten dan huruf kapital keyword; minifier menghapus spasi tak perlu</t>
        </is>
      </c>
      <c r="L43" s="19" t="inlineStr">
        <is>
          <t>Formatting 15 dialek berfungsi</t>
        </is>
      </c>
      <c r="M43" s="18" t="inlineStr">
        <is>
          <t>Manual UI</t>
        </is>
      </c>
      <c r="N43" s="18" t="inlineStr">
        <is>
          <t>QA Specialist E</t>
        </is>
      </c>
      <c r="O43" s="18" t="inlineStr">
        <is>
          <t>2026-10-08</t>
        </is>
      </c>
      <c r="P43" s="18" t="inlineStr"/>
      <c r="Q43" s="19" t="inlineStr">
        <is>
          <t>Verified</t>
        </is>
      </c>
    </row>
    <row r="44">
      <c r="A44" s="25" t="inlineStr">
        <is>
          <t>TC-DEV-002</t>
        </is>
      </c>
      <c r="B44" s="16" t="inlineStr">
        <is>
          <t>Developer Tools (SQL &amp; JSON)</t>
        </is>
      </c>
      <c r="C44" s="16" t="inlineStr">
        <is>
          <t>SQL Query Execution &amp; History Logging</t>
        </is>
      </c>
      <c r="D44" s="16" t="inlineStr">
        <is>
          <t>Functional / DB</t>
        </is>
      </c>
      <c r="E44" s="16" t="inlineStr">
        <is>
          <t>Eksekusi kueri SELECT dan pencatatan riwayat eksekusi ke tabel SqlHistory</t>
        </is>
      </c>
      <c r="F44" s="16" t="inlineStr">
        <is>
          <t>Login Administrator</t>
        </is>
      </c>
      <c r="G44" s="16" t="inlineStr">
        <is>
          <t>1. Masukkan kueri 'SELECT COUNT(*) FROM Tasks;'
2. Klik Run Query
3. Periksa tabel hasil dan tab Riwayat Kueri</t>
        </is>
      </c>
      <c r="H44" s="16" t="inlineStr">
        <is>
          <t>Kueri: SELECT COUNT(*) FROM Tasks;</t>
        </is>
      </c>
      <c r="I44" s="15" t="inlineStr">
        <is>
          <t>Passed</t>
        </is>
      </c>
      <c r="J44" s="15" t="inlineStr">
        <is>
          <t>High</t>
        </is>
      </c>
      <c r="K44" s="16" t="inlineStr">
        <is>
          <t>Hasil eksekusi muncul di tabel interaktif, row baru tercatat di SqlHistory dengan waktu eksekusi dan durasi ms</t>
        </is>
      </c>
      <c r="L44" s="16" t="inlineStr">
        <is>
          <t>Execution &amp; history logger sukses</t>
        </is>
      </c>
      <c r="M44" s="15" t="inlineStr">
        <is>
          <t>Manual UI</t>
        </is>
      </c>
      <c r="N44" s="15" t="inlineStr">
        <is>
          <t>QA Specialist E</t>
        </is>
      </c>
      <c r="O44" s="15" t="inlineStr">
        <is>
          <t>2026-10-08</t>
        </is>
      </c>
      <c r="P44" s="15" t="inlineStr"/>
      <c r="Q44" s="16" t="inlineStr">
        <is>
          <t>Verified</t>
        </is>
      </c>
    </row>
    <row r="45">
      <c r="A45" s="26" t="inlineStr">
        <is>
          <t>TC-DEV-003</t>
        </is>
      </c>
      <c r="B45" s="19" t="inlineStr">
        <is>
          <t>Developer Tools (SQL &amp; JSON)</t>
        </is>
      </c>
      <c r="C45" s="19" t="inlineStr">
        <is>
          <t>JSON Formatter, Minifier &amp; Schema Validator</t>
        </is>
      </c>
      <c r="D45" s="19" t="inlineStr">
        <is>
          <t>Functional</t>
        </is>
      </c>
      <c r="E45" s="19" t="inlineStr">
        <is>
          <t>Validasi struktur sintaks JSON, formatting rapi, dan konversi minified</t>
        </is>
      </c>
      <c r="F45" s="19" t="inlineStr">
        <is>
          <t>Halaman /JsonTools terbuka</t>
        </is>
      </c>
      <c r="G45" s="19" t="inlineStr">
        <is>
          <t>1. Tempel string JSON mentah
2. Klik Format JSON
3. Masukkan JSON invalid dan klik Validasi</t>
        </is>
      </c>
      <c r="H45" s="19" t="inlineStr">
        <is>
          <t>JSON: {"name":"TrackerKerja","version":3.7}</t>
        </is>
      </c>
      <c r="I45" s="18" t="inlineStr">
        <is>
          <t>Passed</t>
        </is>
      </c>
      <c r="J45" s="18" t="inlineStr">
        <is>
          <t>Low</t>
        </is>
      </c>
      <c r="K45" s="19" t="inlineStr">
        <is>
          <t>JSON valid terformat dengan indentasi 2-spasi; JSON invalid memunculkan posisi line error yang jelas</t>
        </is>
      </c>
      <c r="L45" s="19" t="inlineStr">
        <is>
          <t>JSON Tools berfungsi dengan baik</t>
        </is>
      </c>
      <c r="M45" s="18" t="inlineStr">
        <is>
          <t>Manual UI</t>
        </is>
      </c>
      <c r="N45" s="18" t="inlineStr">
        <is>
          <t>QA Specialist E</t>
        </is>
      </c>
      <c r="O45" s="18" t="inlineStr">
        <is>
          <t>2026-10-08</t>
        </is>
      </c>
      <c r="P45" s="18" t="inlineStr"/>
      <c r="Q45" s="19" t="inlineStr">
        <is>
          <t>Verified</t>
        </is>
      </c>
    </row>
    <row r="46">
      <c r="A46" s="25" t="inlineStr">
        <is>
          <t>TC-DEV-004</t>
        </is>
      </c>
      <c r="B46" s="16" t="inlineStr">
        <is>
          <t>Developer Tools (SQL &amp; JSON)</t>
        </is>
      </c>
      <c r="C46" s="16" t="inlineStr">
        <is>
          <t>Restriksi Keamanan SQL Tools Khusus Admin</t>
        </is>
      </c>
      <c r="D46" s="16" t="inlineStr">
        <is>
          <t>Security / RBAC</t>
        </is>
      </c>
      <c r="E46" s="16" t="inlineStr">
        <is>
          <t>Pengguna non-admin diblokir dari mengakses fitur eksekusi kueri langsung</t>
        </is>
      </c>
      <c r="F46" s="16" t="inlineStr">
        <is>
          <t>Login sebagai User biasa</t>
        </is>
      </c>
      <c r="G46" s="16" t="inlineStr">
        <is>
          <t>1. Akses URL /SqlTools atau kirim POST /api/sqltools/execute</t>
        </is>
      </c>
      <c r="H46" s="16" t="inlineStr">
        <is>
          <t>Role: User</t>
        </is>
      </c>
      <c r="I46" s="15" t="inlineStr">
        <is>
          <t>Passed</t>
        </is>
      </c>
      <c r="J46" s="15" t="inlineStr">
        <is>
          <t>Critical</t>
        </is>
      </c>
      <c r="K46" s="16" t="inlineStr">
        <is>
          <t>Akses ditolak dengan HTTP 403 Forbidden / dialihkan ke halaman peringatan hak akses</t>
        </is>
      </c>
      <c r="L46" s="16" t="inlineStr">
        <is>
          <t>Proteksi role aman</t>
        </is>
      </c>
      <c r="M46" s="15" t="inlineStr">
        <is>
          <t>Manual UI</t>
        </is>
      </c>
      <c r="N46" s="15" t="inlineStr">
        <is>
          <t>QA Specialist E</t>
        </is>
      </c>
      <c r="O46" s="15" t="inlineStr">
        <is>
          <t>2026-10-08</t>
        </is>
      </c>
      <c r="P46" s="15" t="inlineStr"/>
      <c r="Q46" s="16" t="inlineStr">
        <is>
          <t>Verified</t>
        </is>
      </c>
    </row>
    <row r="47">
      <c r="A47" s="26" t="inlineStr">
        <is>
          <t>TC-AUD-001</t>
        </is>
      </c>
      <c r="B47" s="19" t="inlineStr">
        <is>
          <t>Audit Trail &amp; Activity Log</t>
        </is>
      </c>
      <c r="C47" s="19" t="inlineStr">
        <is>
          <t>Perekaman Otomatis Log via Action Filter</t>
        </is>
      </c>
      <c r="D47" s="19" t="inlineStr">
        <is>
          <t>Security / Integration</t>
        </is>
      </c>
      <c r="E47" s="19" t="inlineStr">
        <is>
          <t>Setiap aksi Create, Update, Delete di semua controller tercatat otomatis di AuditLogs</t>
        </is>
      </c>
      <c r="F47" s="19" t="inlineStr">
        <is>
          <t>Global AuditLogActionFilter terdaftar</t>
        </is>
      </c>
      <c r="G47" s="19" t="inlineStr">
        <is>
          <t>1. Buat sebuah task baru
2. Hapus sebuah note
3. Buka menu Audit Trail</t>
        </is>
      </c>
      <c r="H47" s="19" t="inlineStr">
        <is>
          <t>Aksi: Create Task, Delete Note</t>
        </is>
      </c>
      <c r="I47" s="18" t="inlineStr">
        <is>
          <t>Passed</t>
        </is>
      </c>
      <c r="J47" s="18" t="inlineStr">
        <is>
          <t>High</t>
        </is>
      </c>
      <c r="K47" s="19" t="inlineStr">
        <is>
          <t>Kedua aksi tercatat lengkap dengan timestamp, User ID, IP Address, Controller, Action, dan detail perubahan</t>
        </is>
      </c>
      <c r="L47" s="19" t="inlineStr">
        <is>
          <t>Audit log tercatat konsisten</t>
        </is>
      </c>
      <c r="M47" s="18" t="inlineStr">
        <is>
          <t>Manual UI</t>
        </is>
      </c>
      <c r="N47" s="18" t="inlineStr">
        <is>
          <t>QA Specialist E</t>
        </is>
      </c>
      <c r="O47" s="18" t="inlineStr">
        <is>
          <t>2026-10-08</t>
        </is>
      </c>
      <c r="P47" s="18" t="inlineStr"/>
      <c r="Q47" s="19" t="inlineStr">
        <is>
          <t>Verified</t>
        </is>
      </c>
    </row>
    <row r="48">
      <c r="A48" s="25" t="inlineStr">
        <is>
          <t>TC-AUD-002</t>
        </is>
      </c>
      <c r="B48" s="16" t="inlineStr">
        <is>
          <t>Audit Trail &amp; Activity Log</t>
        </is>
      </c>
      <c r="C48" s="16" t="inlineStr">
        <is>
          <t>Pencarian &amp; Ekspor Log Aktivitas</t>
        </is>
      </c>
      <c r="D48" s="16" t="inlineStr">
        <is>
          <t>Functional</t>
        </is>
      </c>
      <c r="E48" s="16" t="inlineStr">
        <is>
          <t>Memfilter log audit berdasarkan tanggal, modul, dan nama pengguna serta mengekspor ke Excel</t>
        </is>
      </c>
      <c r="F48" s="16" t="inlineStr">
        <is>
          <t>Data audit log tersedia</t>
        </is>
      </c>
      <c r="G48" s="16" t="inlineStr">
        <is>
          <t>1. Filter tanggal 7 hari terakhir
2. Filter Modul 'TaskController'
3. Klik Ekspor CSV/Excel</t>
        </is>
      </c>
      <c r="H48" s="16" t="inlineStr">
        <is>
          <t>Rentang 7 hari terakhir</t>
        </is>
      </c>
      <c r="I48" s="15" t="inlineStr">
        <is>
          <t>Passed</t>
        </is>
      </c>
      <c r="J48" s="15" t="inlineStr">
        <is>
          <t>Medium</t>
        </is>
      </c>
      <c r="K48" s="16" t="inlineStr">
        <is>
          <t>Tabel log terfilter akurat dan file ekspor terunduh berisi data log sesuai kriteria filter</t>
        </is>
      </c>
      <c r="L48" s="16" t="inlineStr">
        <is>
          <t>Filter dan ekspor audit log OK</t>
        </is>
      </c>
      <c r="M48" s="15" t="inlineStr">
        <is>
          <t>Manual UI</t>
        </is>
      </c>
      <c r="N48" s="15" t="inlineStr">
        <is>
          <t>QA Specialist E</t>
        </is>
      </c>
      <c r="O48" s="15" t="inlineStr">
        <is>
          <t>2026-10-08</t>
        </is>
      </c>
      <c r="P48" s="15" t="inlineStr"/>
      <c r="Q48" s="16" t="inlineStr">
        <is>
          <t>Verified</t>
        </is>
      </c>
    </row>
    <row r="49">
      <c r="A49" s="26" t="inlineStr">
        <is>
          <t>TC-MST-001</t>
        </is>
      </c>
      <c r="B49" s="19" t="inlineStr">
        <is>
          <t>Master Data (Priority, Status, Milestone)</t>
        </is>
      </c>
      <c r="C49" s="19" t="inlineStr">
        <is>
          <t>CRUD Master Prioritas Tugas</t>
        </is>
      </c>
      <c r="D49" s="19" t="inlineStr">
        <is>
          <t>Functional</t>
        </is>
      </c>
      <c r="E49" s="19" t="inlineStr">
        <is>
          <t>Pengelolaan master data prioritas tugas (Urutan, Nama, Warna Badge Hex)</t>
        </is>
      </c>
      <c r="F49" s="19" t="inlineStr">
        <is>
          <t>Role Administrator</t>
        </is>
      </c>
      <c r="G49" s="19" t="inlineStr">
        <is>
          <t>1. Buka Master Data &gt; Prioritas
2. Tambah Prioritas baru 'Urgent Blocker' dengan warna '#EF4444'
3. Simpan</t>
        </is>
      </c>
      <c r="H49" s="19" t="inlineStr">
        <is>
          <t>Nama: Urgent Blocker, Warna: #EF4444, Order: 1</t>
        </is>
      </c>
      <c r="I49" s="18" t="inlineStr">
        <is>
          <t>Passed</t>
        </is>
      </c>
      <c r="J49" s="18" t="inlineStr">
        <is>
          <t>Medium</t>
        </is>
      </c>
      <c r="K49" s="19" t="inlineStr">
        <is>
          <t>Prioritas baru tersimpan dan langsung muncul di opsi dropdown pembuatan tugas</t>
        </is>
      </c>
      <c r="L49" s="19" t="inlineStr">
        <is>
          <t>CRUD prioritas berfungsi</t>
        </is>
      </c>
      <c r="M49" s="18" t="inlineStr">
        <is>
          <t>Manual UI</t>
        </is>
      </c>
      <c r="N49" s="18" t="inlineStr">
        <is>
          <t>QA Engineer D</t>
        </is>
      </c>
      <c r="O49" s="18" t="inlineStr">
        <is>
          <t>2026-10-08</t>
        </is>
      </c>
      <c r="P49" s="18" t="inlineStr"/>
      <c r="Q49" s="19" t="inlineStr">
        <is>
          <t>Verified</t>
        </is>
      </c>
    </row>
    <row r="50">
      <c r="A50" s="25" t="inlineStr">
        <is>
          <t>TC-MST-002</t>
        </is>
      </c>
      <c r="B50" s="16" t="inlineStr">
        <is>
          <t>Master Data (Priority, Status, Milestone)</t>
        </is>
      </c>
      <c r="C50" s="16" t="inlineStr">
        <is>
          <t>CRUD Master Status Workflow</t>
        </is>
      </c>
      <c r="D50" s="16" t="inlineStr">
        <is>
          <t>Functional</t>
        </is>
      </c>
      <c r="E50" s="16" t="inlineStr">
        <is>
          <t>Pengelolaan daftar status alur kerja tugas (Backlog, To Do, In Progress, Review, Done)</t>
        </is>
      </c>
      <c r="F50" s="16" t="inlineStr">
        <is>
          <t>Role Administrator</t>
        </is>
      </c>
      <c r="G50" s="16" t="inlineStr">
        <is>
          <t>1. Buka Master Data &gt; Status Tugas
2. Ubah urutan sorting status atau ubah nama label
3. Simpan</t>
        </is>
      </c>
      <c r="H50" s="16" t="inlineStr">
        <is>
          <t>Status list</t>
        </is>
      </c>
      <c r="I50" s="15" t="inlineStr">
        <is>
          <t>Passed</t>
        </is>
      </c>
      <c r="J50" s="15" t="inlineStr">
        <is>
          <t>Medium</t>
        </is>
      </c>
      <c r="K50" s="16" t="inlineStr">
        <is>
          <t>Perubahan urutan langsung merefleksikan urutan kolom di Kanban board dan dropdown task</t>
        </is>
      </c>
      <c r="L50" s="16" t="inlineStr">
        <is>
          <t>Status sinkron dengan Kanban</t>
        </is>
      </c>
      <c r="M50" s="15" t="inlineStr">
        <is>
          <t>Manual UI</t>
        </is>
      </c>
      <c r="N50" s="15" t="inlineStr">
        <is>
          <t>QA Engineer D</t>
        </is>
      </c>
      <c r="O50" s="15" t="inlineStr">
        <is>
          <t>2026-10-08</t>
        </is>
      </c>
      <c r="P50" s="15" t="inlineStr"/>
      <c r="Q50" s="16" t="inlineStr">
        <is>
          <t>Verified</t>
        </is>
      </c>
    </row>
    <row r="51">
      <c r="A51" s="26" t="inlineStr">
        <is>
          <t>TC-MST-003</t>
        </is>
      </c>
      <c r="B51" s="19" t="inlineStr">
        <is>
          <t>Master Data (Priority, Status, Milestone)</t>
        </is>
      </c>
      <c r="C51" s="19" t="inlineStr">
        <is>
          <t>CRUD Master Milestone SDLC</t>
        </is>
      </c>
      <c r="D51" s="19" t="inlineStr">
        <is>
          <t>Functional</t>
        </is>
      </c>
      <c r="E51" s="19" t="inlineStr">
        <is>
          <t>Membuat milestone sprint dengan nama fase dan target tanggal rilis</t>
        </is>
      </c>
      <c r="F51" s="19" t="inlineStr">
        <is>
          <t>Role Administrator / Manager</t>
        </is>
      </c>
      <c r="G51" s="19" t="inlineStr">
        <is>
          <t>1. Buka Master Data &gt; Milestone
2. Tambah 'Sprint 14 - Production Deployment' target 2026-11-15
3. Simpan</t>
        </is>
      </c>
      <c r="H51" s="19" t="inlineStr">
        <is>
          <t>Nama: Sprint 14, Target: 2026-11-15</t>
        </is>
      </c>
      <c r="I51" s="18" t="inlineStr">
        <is>
          <t>Passed</t>
        </is>
      </c>
      <c r="J51" s="18" t="inlineStr">
        <is>
          <t>Medium</t>
        </is>
      </c>
      <c r="K51" s="19" t="inlineStr">
        <is>
          <t>Milestone tersimpan dan dapat di-tag ke berbagai task dan proyek</t>
        </is>
      </c>
      <c r="L51" s="19" t="inlineStr">
        <is>
          <t>Milestone CRUD OK</t>
        </is>
      </c>
      <c r="M51" s="18" t="inlineStr">
        <is>
          <t>Manual UI</t>
        </is>
      </c>
      <c r="N51" s="18" t="inlineStr">
        <is>
          <t>QA Engineer D</t>
        </is>
      </c>
      <c r="O51" s="18" t="inlineStr">
        <is>
          <t>2026-10-08</t>
        </is>
      </c>
      <c r="P51" s="18" t="inlineStr"/>
      <c r="Q51" s="19" t="inlineStr">
        <is>
          <t>Verified</t>
        </is>
      </c>
    </row>
    <row r="52">
      <c r="A52" s="25" t="inlineStr">
        <is>
          <t>TC-GAM-001</t>
        </is>
      </c>
      <c r="B52" s="16" t="inlineStr">
        <is>
          <t>Gamifikasi &amp; Check-In Streak</t>
        </is>
      </c>
      <c r="C52" s="16" t="inlineStr">
        <is>
          <t>Daily Check-In &amp; Penambahan Poin Streak</t>
        </is>
      </c>
      <c r="D52" s="16" t="inlineStr">
        <is>
          <t>Gamification / E2E</t>
        </is>
      </c>
      <c r="E52" s="16" t="inlineStr">
        <is>
          <t>Check-in berturut-turut menambah hitungan streak hari dan poin gamifikasi</t>
        </is>
      </c>
      <c r="F52" s="16" t="inlineStr">
        <is>
          <t>User aktif login di sistem</t>
        </is>
      </c>
      <c r="G52" s="16" t="inlineStr">
        <is>
          <t>1. Buka menu Gamifikasi / Check-In Harian
2. Klik tombol 'Daily Check-In Hari Ini'</t>
        </is>
      </c>
      <c r="H52" s="16" t="inlineStr">
        <is>
          <t>User: john_qa</t>
        </is>
      </c>
      <c r="I52" s="15" t="inlineStr">
        <is>
          <t>Passed</t>
        </is>
      </c>
      <c r="J52" s="15" t="inlineStr">
        <is>
          <t>Medium</t>
        </is>
      </c>
      <c r="K52" s="16" t="inlineStr">
        <is>
          <t>Poin bertambah +10, streak bertambah +1 hari, konfeti/animasi reward muncul</t>
        </is>
      </c>
      <c r="L52" s="16" t="inlineStr">
        <is>
          <t>Animasi dan poin bertambah</t>
        </is>
      </c>
      <c r="M52" s="15" t="inlineStr">
        <is>
          <t>Manual UI</t>
        </is>
      </c>
      <c r="N52" s="15" t="inlineStr">
        <is>
          <t>QA Engineer A</t>
        </is>
      </c>
      <c r="O52" s="15" t="inlineStr">
        <is>
          <t>2026-10-08</t>
        </is>
      </c>
      <c r="P52" s="15" t="inlineStr"/>
      <c r="Q52" s="16" t="inlineStr">
        <is>
          <t>Verified</t>
        </is>
      </c>
    </row>
    <row r="53">
      <c r="A53" s="26" t="inlineStr">
        <is>
          <t>TC-GAM-002</t>
        </is>
      </c>
      <c r="B53" s="19" t="inlineStr">
        <is>
          <t>Gamifikasi &amp; Check-In Streak</t>
        </is>
      </c>
      <c r="C53" s="19" t="inlineStr">
        <is>
          <t>Otomatisasi Award Master Badge Gaul</t>
        </is>
      </c>
      <c r="D53" s="19" t="inlineStr">
        <is>
          <t>Gamification</t>
        </is>
      </c>
      <c r="E53" s="19" t="inlineStr">
        <is>
          <t>Pencapaian streak tertentu otomatis membuka badge prestasi (misal: 'Streak Master 7 Hari')</t>
        </is>
      </c>
      <c r="F53" s="19" t="inlineStr">
        <is>
          <t>User mencapai streak hari ke-7</t>
        </is>
      </c>
      <c r="G53" s="19" t="inlineStr">
        <is>
          <t>1. Lakukan check-in hari ke-7
2. Buka tab Badges &amp; Koleksi</t>
        </is>
      </c>
      <c r="H53" s="19" t="inlineStr">
        <is>
          <t>Streak: 7 hari berturut-turut</t>
        </is>
      </c>
      <c r="I53" s="18" t="inlineStr">
        <is>
          <t>Ready</t>
        </is>
      </c>
      <c r="J53" s="18" t="inlineStr">
        <is>
          <t>Medium</t>
        </is>
      </c>
      <c r="K53" s="19" t="inlineStr">
        <is>
          <t>Badge 'Streak Master' otomatis terbuka (Unlocked) dan tampil di profil pengguna</t>
        </is>
      </c>
      <c r="L53" s="19" t="inlineStr"/>
      <c r="M53" s="18" t="inlineStr">
        <is>
          <t>Manual UI</t>
        </is>
      </c>
      <c r="N53" s="18" t="inlineStr">
        <is>
          <t>QA Engineer A</t>
        </is>
      </c>
      <c r="O53" s="18" t="inlineStr"/>
      <c r="P53" s="18" t="inlineStr"/>
      <c r="Q53" s="19" t="inlineStr">
        <is>
          <t>Siap diuji</t>
        </is>
      </c>
    </row>
    <row r="54">
      <c r="A54" s="25" t="inlineStr">
        <is>
          <t>TC-GAM-003</t>
        </is>
      </c>
      <c r="B54" s="16" t="inlineStr">
        <is>
          <t>Gamifikasi &amp; Check-In Streak</t>
        </is>
      </c>
      <c r="C54" s="16" t="inlineStr">
        <is>
          <t>Leaderboard Tim &amp; Penukaran Hadiah</t>
        </is>
      </c>
      <c r="D54" s="16" t="inlineStr">
        <is>
          <t>Gamification</t>
        </is>
      </c>
      <c r="E54" s="16" t="inlineStr">
        <is>
          <t>Peringkat leaderboard tim ter-update berdasarkan total poin akumulasi</t>
        </is>
      </c>
      <c r="F54" s="16" t="inlineStr">
        <is>
          <t>Beberapa anggota memiliki variasi poin</t>
        </is>
      </c>
      <c r="G54" s="16" t="inlineStr">
        <is>
          <t>1. Buka menu Leaderboard
2. Verifikasi urutan peringkat user teratas</t>
        </is>
      </c>
      <c r="H54" s="16" t="inlineStr">
        <is>
          <t>Peringkat top 10</t>
        </is>
      </c>
      <c r="I54" s="15" t="inlineStr">
        <is>
          <t>Ready</t>
        </is>
      </c>
      <c r="J54" s="15" t="inlineStr">
        <is>
          <t>Low</t>
        </is>
      </c>
      <c r="K54" s="16" t="inlineStr">
        <is>
          <t>Peringkat terurut menurun dari skor tertinggi ke terendah secara akurat</t>
        </is>
      </c>
      <c r="L54" s="16" t="inlineStr"/>
      <c r="M54" s="15" t="inlineStr">
        <is>
          <t>Manual UI</t>
        </is>
      </c>
      <c r="N54" s="15" t="inlineStr">
        <is>
          <t>QA Engineer A</t>
        </is>
      </c>
      <c r="O54" s="15" t="inlineStr"/>
      <c r="P54" s="15" t="inlineStr"/>
      <c r="Q54" s="16" t="inlineStr">
        <is>
          <t>Siap diuji</t>
        </is>
      </c>
    </row>
    <row r="55">
      <c r="A55" s="26" t="inlineStr">
        <is>
          <t>TC-NOTIF-001</t>
        </is>
      </c>
      <c r="B55" s="19" t="inlineStr">
        <is>
          <t>Notifikasi &amp; Integrasi SMTP Email</t>
        </is>
      </c>
      <c r="C55" s="19" t="inlineStr">
        <is>
          <t>Notifikasi In-App Saat Ditugaskan Task</t>
        </is>
      </c>
      <c r="D55" s="19" t="inlineStr">
        <is>
          <t>Functional</t>
        </is>
      </c>
      <c r="E55" s="19" t="inlineStr">
        <is>
          <t>Pengguna menerima notifikasi lonceng saat diberi tugas baru oleh rekan tim</t>
        </is>
      </c>
      <c r="F55" s="19" t="inlineStr">
        <is>
          <t>User A menugaskan task ke User B</t>
        </is>
      </c>
      <c r="G55" s="19" t="inlineStr">
        <is>
          <t>1. User A buat task dengan Assignee = User B
2. Login User B, amati ikon lonceng navbar</t>
        </is>
      </c>
      <c r="H55" s="19" t="inlineStr">
        <is>
          <t>Assignee: User B</t>
        </is>
      </c>
      <c r="I55" s="18" t="inlineStr">
        <is>
          <t>Passed</t>
        </is>
      </c>
      <c r="J55" s="18" t="inlineStr">
        <is>
          <t>High</t>
        </is>
      </c>
      <c r="K55" s="19" t="inlineStr">
        <is>
          <t>Badge angka merah pada ikon lonceng bertambah, notifikasi tugas baru muncul saat diklik</t>
        </is>
      </c>
      <c r="L55" s="19" t="inlineStr">
        <is>
          <t>In-app notification real-time</t>
        </is>
      </c>
      <c r="M55" s="18" t="inlineStr">
        <is>
          <t>Manual UI</t>
        </is>
      </c>
      <c r="N55" s="18" t="inlineStr">
        <is>
          <t>QA Engineer D</t>
        </is>
      </c>
      <c r="O55" s="18" t="inlineStr">
        <is>
          <t>2026-10-08</t>
        </is>
      </c>
      <c r="P55" s="18" t="inlineStr"/>
      <c r="Q55" s="19" t="inlineStr">
        <is>
          <t>Verified</t>
        </is>
      </c>
    </row>
    <row r="56">
      <c r="A56" s="25" t="inlineStr">
        <is>
          <t>TC-NOTIF-002</t>
        </is>
      </c>
      <c r="B56" s="16" t="inlineStr">
        <is>
          <t>Notifikasi &amp; Integrasi SMTP Email</t>
        </is>
      </c>
      <c r="C56" s="16" t="inlineStr">
        <is>
          <t>Konfigurasi Server SMTP &amp; Test Email</t>
        </is>
      </c>
      <c r="D56" s="16" t="inlineStr">
        <is>
          <t>Functional / Integration</t>
        </is>
      </c>
      <c r="E56" s="16" t="inlineStr">
        <is>
          <t>Pengaturan host SMTP, port, username, password, dan pengiriman uji email</t>
        </is>
      </c>
      <c r="F56" s="16" t="inlineStr">
        <is>
          <t>Login Administrator, menu Configuration &gt; Email Settings</t>
        </is>
      </c>
      <c r="G56" s="16" t="inlineStr">
        <is>
          <t>1. Isi SMTP Server, Port 587, User, Password, SSL=True
2. Klik 'Kirim Uji Coba Email'
3. Masukkan email penerima</t>
        </is>
      </c>
      <c r="H56" s="16" t="inlineStr">
        <is>
          <t>SMTP Host: smtp.mailtrap.io / gmail</t>
        </is>
      </c>
      <c r="I56" s="15" t="inlineStr">
        <is>
          <t>Passed</t>
        </is>
      </c>
      <c r="J56" s="15" t="inlineStr">
        <is>
          <t>High</t>
        </is>
      </c>
      <c r="K56" s="16" t="inlineStr">
        <is>
          <t>Email uji coba terkirim sukses tanpa error timeout atau sertifikat SSL</t>
        </is>
      </c>
      <c r="L56" s="16" t="inlineStr">
        <is>
          <t>Test email berhasil masuk ke inbox/trap</t>
        </is>
      </c>
      <c r="M56" s="15" t="inlineStr">
        <is>
          <t>Manual UI</t>
        </is>
      </c>
      <c r="N56" s="15" t="inlineStr">
        <is>
          <t>QA Engineer D</t>
        </is>
      </c>
      <c r="O56" s="15" t="inlineStr">
        <is>
          <t>2026-10-08</t>
        </is>
      </c>
      <c r="P56" s="15" t="inlineStr"/>
      <c r="Q56" s="16" t="inlineStr">
        <is>
          <t>Verified</t>
        </is>
      </c>
    </row>
    <row r="57">
      <c r="A57" s="26" t="inlineStr">
        <is>
          <t>TC-NOTIF-003</t>
        </is>
      </c>
      <c r="B57" s="19" t="inlineStr">
        <is>
          <t>Notifikasi &amp; Integrasi SMTP Email</t>
        </is>
      </c>
      <c r="C57" s="19" t="inlineStr">
        <is>
          <t>Eksekusi 7 Template Event Email</t>
        </is>
      </c>
      <c r="D57" s="19" t="inlineStr">
        <is>
          <t>Functional</t>
        </is>
      </c>
      <c r="E57" s="19" t="inlineStr">
        <is>
          <t>Verifikasi render template HTML pada 7 event sistem (Registrasi, Approval, Task Assigned, Deadline, dsb)</t>
        </is>
      </c>
      <c r="F57" s="19" t="inlineStr">
        <is>
          <t>SMTP aktif</t>
        </is>
      </c>
      <c r="G57" s="19" t="inlineStr">
        <is>
          <t>1. Trigger event email (misal penugasan tugas baru)
2. Periksa format isi email di inbox</t>
        </is>
      </c>
      <c r="H57" s="19" t="inlineStr">
        <is>
          <t>7 Event template sistem</t>
        </is>
      </c>
      <c r="I57" s="18" t="inlineStr">
        <is>
          <t>In Progress</t>
        </is>
      </c>
      <c r="J57" s="18" t="inlineStr">
        <is>
          <t>Medium</t>
        </is>
      </c>
      <c r="K57" s="19" t="inlineStr">
        <is>
          <t>Email terkirim dengan template HTML rapi, logo aplikasi, dan tautan aksi menuju task</t>
        </is>
      </c>
      <c r="L57" s="19" t="inlineStr">
        <is>
          <t>Template HTML rapi dan responsif</t>
        </is>
      </c>
      <c r="M57" s="18" t="inlineStr">
        <is>
          <t>Manual UI</t>
        </is>
      </c>
      <c r="N57" s="18" t="inlineStr">
        <is>
          <t>QA Engineer D</t>
        </is>
      </c>
      <c r="O57" s="18" t="inlineStr">
        <is>
          <t>2026-10-08</t>
        </is>
      </c>
      <c r="P57" s="18" t="inlineStr"/>
      <c r="Q57" s="19" t="inlineStr">
        <is>
          <t>Ongoing test</t>
        </is>
      </c>
    </row>
    <row r="58">
      <c r="A58" s="25" t="inlineStr">
        <is>
          <t>TC-SYNC-001</t>
        </is>
      </c>
      <c r="B58" s="16" t="inlineStr">
        <is>
          <t>Multi-Instance Node Synchronization</t>
        </is>
      </c>
      <c r="C58" s="16" t="inlineStr">
        <is>
          <t>Inisialisasi Sinkronisasi Node ke Host Induk</t>
        </is>
      </c>
      <c r="D58" s="16" t="inlineStr">
        <is>
          <t>Integration / API</t>
        </is>
      </c>
      <c r="E58" s="16" t="inlineStr">
        <is>
          <t>Node lokal mengirimkan heartbeat dan data pembaruan ke server Host Induk via REST API</t>
        </is>
      </c>
      <c r="F58" s="16" t="inlineStr">
        <is>
          <t>Node lokal dan server Host Induk aktif, API Sync Key terkonfigurasi</t>
        </is>
      </c>
      <c r="G58" s="16" t="inlineStr">
        <is>
          <t>1. Buka menu System Sync
2. Klik 'Mulai Sinkronisasi Sekarang'
3. Pantau status log pengiriman</t>
        </is>
      </c>
      <c r="H58" s="16" t="inlineStr">
        <is>
          <t>API Host: https://hub.trackerkerja.internal/api/sync</t>
        </is>
      </c>
      <c r="I58" s="15" t="inlineStr">
        <is>
          <t>Passed</t>
        </is>
      </c>
      <c r="J58" s="15" t="inlineStr">
        <is>
          <t>Critical</t>
        </is>
      </c>
      <c r="K58" s="16" t="inlineStr">
        <is>
          <t>Handshake berhasil, status sinkronisasi berubah menjadi 'Sukses' dengan timestamp terkini</t>
        </is>
      </c>
      <c r="L58" s="16" t="inlineStr">
        <is>
          <t>Koneksi node ke host induk terverifikasi</t>
        </is>
      </c>
      <c r="M58" s="15" t="inlineStr">
        <is>
          <t>API Postman</t>
        </is>
      </c>
      <c r="N58" s="15" t="inlineStr">
        <is>
          <t>QA Specialist E</t>
        </is>
      </c>
      <c r="O58" s="15" t="inlineStr">
        <is>
          <t>2026-10-08</t>
        </is>
      </c>
      <c r="P58" s="15" t="inlineStr"/>
      <c r="Q58" s="16" t="inlineStr">
        <is>
          <t>Verified</t>
        </is>
      </c>
    </row>
    <row r="59">
      <c r="A59" s="26" t="inlineStr">
        <is>
          <t>TC-SYNC-002</t>
        </is>
      </c>
      <c r="B59" s="19" t="inlineStr">
        <is>
          <t>Multi-Instance Node Synchronization</t>
        </is>
      </c>
      <c r="C59" s="19" t="inlineStr">
        <is>
          <t>Sinkronisasi Berkas Lampiran &amp; DB Dump</t>
        </is>
      </c>
      <c r="D59" s="19" t="inlineStr">
        <is>
          <t>Integration / File</t>
        </is>
      </c>
      <c r="E59" s="19" t="inlineStr">
        <is>
          <t>Sinkronisasi file lampiran baru dan replikasi data perubahan tugas ke server pusat</t>
        </is>
      </c>
      <c r="F59" s="19" t="inlineStr">
        <is>
          <t>Ada file lampiran baru yang diunggah di node lokal</t>
        </is>
      </c>
      <c r="G59" s="19" t="inlineStr">
        <is>
          <t>1. Jalankan proses file attachment sync
2. Cek ketersediaan file di server pusat</t>
        </is>
      </c>
      <c r="H59" s="19" t="inlineStr">
        <is>
          <t>Attachment sync job</t>
        </is>
      </c>
      <c r="I59" s="18" t="inlineStr">
        <is>
          <t>Ready</t>
        </is>
      </c>
      <c r="J59" s="18" t="inlineStr">
        <is>
          <t>High</t>
        </is>
      </c>
      <c r="K59" s="19" t="inlineStr">
        <is>
          <t>File lampiran ter-upload ke storage pusat dan hash integritas file cocok (MD5/SHA256)</t>
        </is>
      </c>
      <c r="L59" s="19" t="inlineStr"/>
      <c r="M59" s="18" t="inlineStr">
        <is>
          <t>API Postman</t>
        </is>
      </c>
      <c r="N59" s="18" t="inlineStr">
        <is>
          <t>QA Specialist E</t>
        </is>
      </c>
      <c r="O59" s="18" t="inlineStr"/>
      <c r="P59" s="18" t="inlineStr"/>
      <c r="Q59" s="19" t="inlineStr">
        <is>
          <t>Siap diuji</t>
        </is>
      </c>
    </row>
    <row r="60">
      <c r="A60" s="25" t="inlineStr">
        <is>
          <t>TC-THEME-001</t>
        </is>
      </c>
      <c r="B60" s="16" t="inlineStr">
        <is>
          <t>Tema Tampilan (40 Tema) &amp; Font Engine</t>
        </is>
      </c>
      <c r="C60" s="16" t="inlineStr">
        <is>
          <t>Penggantian Tema Antarmuka (40 Tema)</t>
        </is>
      </c>
      <c r="D60" s="16" t="inlineStr">
        <is>
          <t>UI / UX</t>
        </is>
      </c>
      <c r="E60" s="16" t="inlineStr">
        <is>
          <t>Pengguna dapat berganti antara 40 pilihan tema (Dark, Light, Cyberpunk, Emerald, Solar, dll)</t>
        </is>
      </c>
      <c r="F60" s="16" t="inlineStr">
        <is>
          <t>Buka menu pemilih tema di navbar atau footer</t>
        </is>
      </c>
      <c r="G60" s="16" t="inlineStr">
        <is>
          <t>1. Buka modal Theme Switcher
2. Pilih tema 'Cyberpunk Neon'
3. Periksa seluruh warna elemen
4. Refresh halaman</t>
        </is>
      </c>
      <c r="H60" s="16" t="inlineStr">
        <is>
          <t>Pilihan tema: Cyberpunk Neon, Emerald Forest, Velvet Dark</t>
        </is>
      </c>
      <c r="I60" s="15" t="inlineStr">
        <is>
          <t>Passed</t>
        </is>
      </c>
      <c r="J60" s="15" t="inlineStr">
        <is>
          <t>Medium</t>
        </is>
      </c>
      <c r="K60" s="16" t="inlineStr">
        <is>
          <t>Warna latar, kartu, tombol, teks berubah seketika, dan pilihan tersimpan persisten di localStorage setelah refresh</t>
        </is>
      </c>
      <c r="L60" s="16" t="inlineStr">
        <is>
          <t>Semua variabel CSS tema ter-apply mulus</t>
        </is>
      </c>
      <c r="M60" s="15" t="inlineStr">
        <is>
          <t>Manual UI</t>
        </is>
      </c>
      <c r="N60" s="15" t="inlineStr">
        <is>
          <t>QA Engineer A</t>
        </is>
      </c>
      <c r="O60" s="15" t="inlineStr">
        <is>
          <t>2026-10-08</t>
        </is>
      </c>
      <c r="P60" s="15" t="inlineStr"/>
      <c r="Q60" s="16" t="inlineStr">
        <is>
          <t>Verified</t>
        </is>
      </c>
    </row>
    <row r="61">
      <c r="A61" s="26" t="inlineStr">
        <is>
          <t>TC-THEME-002</t>
        </is>
      </c>
      <c r="B61" s="19" t="inlineStr">
        <is>
          <t>Tema Tampilan (40 Tema) &amp; Font Engine</t>
        </is>
      </c>
      <c r="C61" s="19" t="inlineStr">
        <is>
          <t>Penggantian Font Global (5 Google Fonts)</t>
        </is>
      </c>
      <c r="D61" s="19" t="inlineStr">
        <is>
          <t>UI / UX</t>
        </is>
      </c>
      <c r="E61" s="19" t="inlineStr">
        <is>
          <t>Penggantian tipografi global aplikasi ke salah satu dari 5 Google Fonts</t>
        </is>
      </c>
      <c r="F61" s="19" t="inlineStr">
        <is>
          <t>Modal Font Switcher</t>
        </is>
      </c>
      <c r="G61" s="19" t="inlineStr">
        <is>
          <t>1. Buka Font Switcher
2. Pilih font 'Outfit' atau 'Plus Jakarta Sans'
3. Amati perubahan tipografi seluruh halaman</t>
        </is>
      </c>
      <c r="H61" s="19" t="inlineStr">
        <is>
          <t>Font: Outfit, Plus Jakarta Sans, Inter, Roboto, Poppins</t>
        </is>
      </c>
      <c r="I61" s="18" t="inlineStr">
        <is>
          <t>Passed</t>
        </is>
      </c>
      <c r="J61" s="18" t="inlineStr">
        <is>
          <t>Low</t>
        </is>
      </c>
      <c r="K61" s="19" t="inlineStr">
        <is>
          <t>Seluruh elemen teks berubah menggunakan font yang dipilih tanpa merusak kerapian tata letak</t>
        </is>
      </c>
      <c r="L61" s="19" t="inlineStr">
        <is>
          <t>Font ter-load sempurna</t>
        </is>
      </c>
      <c r="M61" s="18" t="inlineStr">
        <is>
          <t>Manual UI</t>
        </is>
      </c>
      <c r="N61" s="18" t="inlineStr">
        <is>
          <t>QA Engineer A</t>
        </is>
      </c>
      <c r="O61" s="18" t="inlineStr">
        <is>
          <t>2026-10-08</t>
        </is>
      </c>
      <c r="P61" s="18" t="inlineStr"/>
      <c r="Q61" s="19" t="inlineStr">
        <is>
          <t>Verified</t>
        </is>
      </c>
    </row>
    <row r="62">
      <c r="A62" s="25" t="inlineStr">
        <is>
          <t>TC-API-001</t>
        </is>
      </c>
      <c r="B62" s="16" t="inlineStr">
        <is>
          <t>RESTful API &amp; Swagger Bearer Auth</t>
        </is>
      </c>
      <c r="C62" s="16" t="inlineStr">
        <is>
          <t>Proteksi Endpoint API Tanpa Token (401 Unauthorized)</t>
        </is>
      </c>
      <c r="D62" s="16" t="inlineStr">
        <is>
          <t>Security / API</t>
        </is>
      </c>
      <c r="E62" s="16" t="inlineStr">
        <is>
          <t>Mengakses endpoint API sensitif tanpa menyertakan Bearer Token mengembalikan HTTP 401</t>
        </is>
      </c>
      <c r="F62" s="16" t="inlineStr">
        <is>
          <t>Aplikasi berjalan</t>
        </is>
      </c>
      <c r="G62" s="16" t="inlineStr">
        <is>
          <t>1. Kirim GET /api/tasks tanpa header Authorization via Postman/cURL</t>
        </is>
      </c>
      <c r="H62" s="16" t="inlineStr">
        <is>
          <t>Endpoint: /api/tasks</t>
        </is>
      </c>
      <c r="I62" s="15" t="inlineStr">
        <is>
          <t>Passed</t>
        </is>
      </c>
      <c r="J62" s="15" t="inlineStr">
        <is>
          <t>Critical</t>
        </is>
      </c>
      <c r="K62" s="16" t="inlineStr">
        <is>
          <t>Server mengembalikan status HTTP 401 Unauthorized dengan JSON error message</t>
        </is>
      </c>
      <c r="L62" s="16" t="inlineStr">
        <is>
          <t>Ditolak dengan 401 Unauthorized</t>
        </is>
      </c>
      <c r="M62" s="15" t="inlineStr">
        <is>
          <t>API Postman</t>
        </is>
      </c>
      <c r="N62" s="15" t="inlineStr">
        <is>
          <t>QA Specialist E</t>
        </is>
      </c>
      <c r="O62" s="15" t="inlineStr">
        <is>
          <t>2026-10-08</t>
        </is>
      </c>
      <c r="P62" s="15" t="inlineStr"/>
      <c r="Q62" s="16" t="inlineStr">
        <is>
          <t>Verified</t>
        </is>
      </c>
    </row>
    <row r="63">
      <c r="A63" s="26" t="inlineStr">
        <is>
          <t>TC-API-002</t>
        </is>
      </c>
      <c r="B63" s="19" t="inlineStr">
        <is>
          <t>RESTful API &amp; Swagger Bearer Auth</t>
        </is>
      </c>
      <c r="C63" s="19" t="inlineStr">
        <is>
          <t>Proteksi Endpoint Admin dari User Biasa (403 Forbidden)</t>
        </is>
      </c>
      <c r="D63" s="19" t="inlineStr">
        <is>
          <t>Security / RBAC</t>
        </is>
      </c>
      <c r="E63" s="19" t="inlineStr">
        <is>
          <t>Mengakses endpoint khusus admin menggunakan token role User biasa menghasilkan HTTP 403</t>
        </is>
      </c>
      <c r="F63" s="19" t="inlineStr">
        <is>
          <t>Token JWT milik role User biasa</t>
        </is>
      </c>
      <c r="G63" s="19" t="inlineStr">
        <is>
          <t>1. Kirim DELETE /api/members/{id} dengan header Authorization Bearer token User biasa</t>
        </is>
      </c>
      <c r="H63" s="19" t="inlineStr">
        <is>
          <t>Endpoint: /api/members/1, Token: Role=User</t>
        </is>
      </c>
      <c r="I63" s="18" t="inlineStr">
        <is>
          <t>Passed</t>
        </is>
      </c>
      <c r="J63" s="18" t="inlineStr">
        <is>
          <t>Critical</t>
        </is>
      </c>
      <c r="K63" s="19" t="inlineStr">
        <is>
          <t>Server mengembalikan status HTTP 403 Forbidden</t>
        </is>
      </c>
      <c r="L63" s="19" t="inlineStr">
        <is>
          <t>Ditolak dengan 403 Forbidden</t>
        </is>
      </c>
      <c r="M63" s="18" t="inlineStr">
        <is>
          <t>API Postman</t>
        </is>
      </c>
      <c r="N63" s="18" t="inlineStr">
        <is>
          <t>QA Specialist E</t>
        </is>
      </c>
      <c r="O63" s="18" t="inlineStr">
        <is>
          <t>2026-10-08</t>
        </is>
      </c>
      <c r="P63" s="18" t="inlineStr"/>
      <c r="Q63" s="19" t="inlineStr">
        <is>
          <t>Verified</t>
        </is>
      </c>
    </row>
    <row r="64">
      <c r="A64" s="25" t="inlineStr">
        <is>
          <t>TC-API-003</t>
        </is>
      </c>
      <c r="B64" s="16" t="inlineStr">
        <is>
          <t>RESTful API &amp; Swagger Bearer Auth</t>
        </is>
      </c>
      <c r="C64" s="16" t="inlineStr">
        <is>
          <t>Swagger UI JWT Bearer Authorize Modal</t>
        </is>
      </c>
      <c r="D64" s="16" t="inlineStr">
        <is>
          <t>API / Integration</t>
        </is>
      </c>
      <c r="E64" s="16" t="inlineStr">
        <is>
          <t>Swagger UI di /swagger memiliki tombol Authorize untuk memasukkan JWT token dan menguji API langsung</t>
        </is>
      </c>
      <c r="F64" s="16" t="inlineStr">
        <is>
          <t>Buka /swagger di browser</t>
        </is>
      </c>
      <c r="G64" s="16" t="inlineStr">
        <is>
          <t>1. Klik tombol 'Authorize' di kanan atas Swagger UI
2. Masukkan 'Bearer &lt;token&gt;'
3. Klik Authorize
4. Eksekusi GET /api/tasks/my</t>
        </is>
      </c>
      <c r="H64" s="16" t="inlineStr">
        <is>
          <t>Token valid</t>
        </is>
      </c>
      <c r="I64" s="15" t="inlineStr">
        <is>
          <t>Passed</t>
        </is>
      </c>
      <c r="J64" s="15" t="inlineStr">
        <is>
          <t>High</t>
        </is>
      </c>
      <c r="K64" s="16" t="inlineStr">
        <is>
          <t>Swagger UI otomatis menyertakan header Bearer pada seluruh request 'Try it out', response 200 OK</t>
        </is>
      </c>
      <c r="L64" s="16" t="inlineStr">
        <is>
          <t>Swagger Authorize modal berfungsi lancar</t>
        </is>
      </c>
      <c r="M64" s="15" t="inlineStr">
        <is>
          <t>API Postman</t>
        </is>
      </c>
      <c r="N64" s="15" t="inlineStr">
        <is>
          <t>QA Specialist E</t>
        </is>
      </c>
      <c r="O64" s="15" t="inlineStr">
        <is>
          <t>2026-10-08</t>
        </is>
      </c>
      <c r="P64" s="15" t="inlineStr"/>
      <c r="Q64" s="16" t="inlineStr">
        <is>
          <t>Verified</t>
        </is>
      </c>
    </row>
    <row r="65">
      <c r="A65" s="26" t="inlineStr">
        <is>
          <t>TC-API-004</t>
        </is>
      </c>
      <c r="B65" s="19" t="inlineStr">
        <is>
          <t>RESTful API &amp; Swagger Bearer Auth</t>
        </is>
      </c>
      <c r="C65" s="19" t="inlineStr">
        <is>
          <t>Eksekusi Postman Collection Regresi Lengkap</t>
        </is>
      </c>
      <c r="D65" s="19" t="inlineStr">
        <is>
          <t>API / Regression</t>
        </is>
      </c>
      <c r="E65" s="19" t="inlineStr">
        <is>
          <t>Seluruh request pada TrackerKerja_Postman_Collection.json dapat dijalankan dengan sukses (100% Pass)</t>
        </is>
      </c>
      <c r="F65" s="19" t="inlineStr">
        <is>
          <t>Postman runner / Newman CLI dengan environment TrackerKerja_Postman_Environment.json</t>
        </is>
      </c>
      <c r="G65" s="19" t="inlineStr">
        <is>
          <t>1. Import collection &amp; environment
2. Jalankan Collection Runner
3. Verifikasi test script assertions</t>
        </is>
      </c>
      <c r="H65" s="19" t="inlineStr">
        <is>
          <t>Collection: TrackerKerja_Postman_Collection.json</t>
        </is>
      </c>
      <c r="I65" s="18" t="inlineStr">
        <is>
          <t>Passed</t>
        </is>
      </c>
      <c r="J65" s="18" t="inlineStr">
        <is>
          <t>Critical</t>
        </is>
      </c>
      <c r="K65" s="19" t="inlineStr">
        <is>
          <t>Seluruh assertion (Status Code 200/201, schema response, token extraction) berhasil lolos tanpa kegagalan</t>
        </is>
      </c>
      <c r="L65" s="19" t="inlineStr">
        <is>
          <t>Semua runner test lolos 100%</t>
        </is>
      </c>
      <c r="M65" s="18" t="inlineStr">
        <is>
          <t>API Postman</t>
        </is>
      </c>
      <c r="N65" s="18" t="inlineStr">
        <is>
          <t>QA Specialist E</t>
        </is>
      </c>
      <c r="O65" s="18" t="inlineStr">
        <is>
          <t>2026-10-08</t>
        </is>
      </c>
      <c r="P65" s="18" t="inlineStr"/>
      <c r="Q65" s="19" t="inlineStr">
        <is>
          <t>Verified</t>
        </is>
      </c>
    </row>
  </sheetData>
  <mergeCells count="1">
    <mergeCell ref="A1:Q2"/>
  </mergeCells>
  <conditionalFormatting sqref="I4:I1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"In Progress"</formula>
    </cfRule>
    <cfRule type="cellIs" priority="4" operator="equal" dxfId="3">
      <formula>"Blocked"</formula>
    </cfRule>
  </conditionalFormatting>
  <dataValidations count="3">
    <dataValidation sqref="I4:I86" showDropDown="0" showInputMessage="0" showErrorMessage="0" allowBlank="1" type="list">
      <formula1>"Passed,Failed,In Progress,Blocked,Ready,Draft"</formula1>
    </dataValidation>
    <dataValidation sqref="J4:J86" showDropDown="0" showInputMessage="0" showErrorMessage="0" allowBlank="1" type="list">
      <formula1>"Critical,High,Medium,Low"</formula1>
    </dataValidation>
    <dataValidation sqref="M4:M86" showDropDown="0" showInputMessage="0" showErrorMessage="0" allowBlank="1" type="list">
      <formula1>"Manual UI,API Postman,E2E Automated"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22" customWidth="1" min="10" max="10"/>
  </cols>
  <sheetData>
    <row r="1">
      <c r="A1" s="1" t="inlineStr">
        <is>
          <t>SIKLUS PENGUJIAN &amp; RELEASE RUN TRACKER - WORK TRACKER PRO v3.7</t>
        </is>
      </c>
    </row>
    <row r="2"/>
    <row r="4">
      <c r="A4" s="14" t="inlineStr">
        <is>
          <t>Siklus Uji (Cycle ID)</t>
        </is>
      </c>
      <c r="B4" s="14" t="inlineStr">
        <is>
          <t>Nama Siklus Pengujian</t>
        </is>
      </c>
      <c r="C4" s="14" t="inlineStr">
        <is>
          <t>Tujuan &amp; Lingkup Pengujian</t>
        </is>
      </c>
      <c r="D4" s="14" t="inlineStr">
        <is>
          <t>Tgl Mulai</t>
        </is>
      </c>
      <c r="E4" s="14" t="inlineStr">
        <is>
          <t>Tgl Selesai</t>
        </is>
      </c>
      <c r="F4" s="14" t="inlineStr">
        <is>
          <t>Total TC</t>
        </is>
      </c>
      <c r="G4" s="14" t="inlineStr">
        <is>
          <t>Passed</t>
        </is>
      </c>
      <c r="H4" s="14" t="inlineStr">
        <is>
          <t>Failed</t>
        </is>
      </c>
      <c r="I4" s="14" t="inlineStr">
        <is>
          <t>Pass Rate</t>
        </is>
      </c>
      <c r="J4" s="14" t="inlineStr">
        <is>
          <t>Status Siklus</t>
        </is>
      </c>
    </row>
    <row r="5">
      <c r="A5" s="15" t="inlineStr">
        <is>
          <t>CYCLE-01</t>
        </is>
      </c>
      <c r="B5" s="16" t="inlineStr">
        <is>
          <t>Smoke / Sanity Test v3.7</t>
        </is>
      </c>
      <c r="C5" s="16" t="inlineStr">
        <is>
          <t>Verifikasi jalur kritis login, dashboard, buat tugas, check-in</t>
        </is>
      </c>
      <c r="D5" s="15" t="inlineStr">
        <is>
          <t>2026-10-01</t>
        </is>
      </c>
      <c r="E5" s="15" t="inlineStr">
        <is>
          <t>2026-10-02</t>
        </is>
      </c>
      <c r="F5" s="15" t="n">
        <v>15</v>
      </c>
      <c r="G5" s="15" t="n">
        <v>15</v>
      </c>
      <c r="H5" s="15" t="n">
        <v>0</v>
      </c>
      <c r="I5" s="27">
        <f>G5/F5</f>
        <v/>
      </c>
      <c r="J5" s="15" t="inlineStr">
        <is>
          <t>Completed (Passed)</t>
        </is>
      </c>
    </row>
    <row r="6">
      <c r="A6" s="18" t="inlineStr">
        <is>
          <t>CYCLE-02</t>
        </is>
      </c>
      <c r="B6" s="19" t="inlineStr">
        <is>
          <t>Multi-Company &amp; Isolation Regression</t>
        </is>
      </c>
      <c r="C6" s="19" t="inlineStr">
        <is>
          <t>Pengujian isolasi korporat kode, role matrix, permission</t>
        </is>
      </c>
      <c r="D6" s="18" t="inlineStr">
        <is>
          <t>2026-10-03</t>
        </is>
      </c>
      <c r="E6" s="18" t="inlineStr">
        <is>
          <t>2026-10-04</t>
        </is>
      </c>
      <c r="F6" s="18" t="n">
        <v>20</v>
      </c>
      <c r="G6" s="18" t="n">
        <v>20</v>
      </c>
      <c r="H6" s="18" t="n">
        <v>0</v>
      </c>
      <c r="I6" s="28">
        <f>G6/F6</f>
        <v/>
      </c>
      <c r="J6" s="18" t="inlineStr">
        <is>
          <t>Completed (Passed)</t>
        </is>
      </c>
    </row>
    <row r="7">
      <c r="A7" s="15" t="inlineStr">
        <is>
          <t>CYCLE-03</t>
        </is>
      </c>
      <c r="B7" s="16" t="inlineStr">
        <is>
          <t>ClosedXML &amp; ARMS Data Interop</t>
        </is>
      </c>
      <c r="C7" s="16" t="inlineStr">
        <is>
          <t>Uji format Excel 21-kolom, import, export, formula proteksi</t>
        </is>
      </c>
      <c r="D7" s="15" t="inlineStr">
        <is>
          <t>2026-10-05</t>
        </is>
      </c>
      <c r="E7" s="15" t="inlineStr">
        <is>
          <t>2026-10-06</t>
        </is>
      </c>
      <c r="F7" s="15" t="n">
        <v>18</v>
      </c>
      <c r="G7" s="15" t="n">
        <v>18</v>
      </c>
      <c r="H7" s="15" t="n">
        <v>0</v>
      </c>
      <c r="I7" s="27">
        <f>G7/F7</f>
        <v/>
      </c>
      <c r="J7" s="15" t="inlineStr">
        <is>
          <t>Completed (Passed)</t>
        </is>
      </c>
    </row>
    <row r="8">
      <c r="A8" s="18" t="inlineStr">
        <is>
          <t>CYCLE-04</t>
        </is>
      </c>
      <c r="B8" s="19" t="inlineStr">
        <is>
          <t>Full E2E Regression Sprint 12</t>
        </is>
      </c>
      <c r="C8" s="19" t="inlineStr">
        <is>
          <t>Pengujian regresi menyeluruh seluruh 19 modul aplikasi</t>
        </is>
      </c>
      <c r="D8" s="18" t="inlineStr">
        <is>
          <t>2026-10-07</t>
        </is>
      </c>
      <c r="E8" s="18" t="inlineStr">
        <is>
          <t>2026-10-10</t>
        </is>
      </c>
      <c r="F8" s="18" t="n">
        <v>75</v>
      </c>
      <c r="G8" s="18" t="n">
        <v>42</v>
      </c>
      <c r="H8" s="18" t="n">
        <v>1</v>
      </c>
      <c r="I8" s="28">
        <f>G8/F8</f>
        <v/>
      </c>
      <c r="J8" s="18" t="inlineStr">
        <is>
          <t>In Progress</t>
        </is>
      </c>
    </row>
    <row r="9">
      <c r="A9" s="15" t="inlineStr">
        <is>
          <t>CYCLE-05</t>
        </is>
      </c>
      <c r="B9" s="16" t="inlineStr">
        <is>
          <t>User Acceptance Testing (UAT)</t>
        </is>
      </c>
      <c r="C9" s="16" t="inlineStr">
        <is>
          <t>Pengujian skenario kerja nyata oleh perwakilan divisi operasional</t>
        </is>
      </c>
      <c r="D9" s="15" t="inlineStr">
        <is>
          <t>2026-10-12</t>
        </is>
      </c>
      <c r="E9" s="15" t="inlineStr">
        <is>
          <t>2026-10-15</t>
        </is>
      </c>
      <c r="F9" s="15" t="n">
        <v>30</v>
      </c>
      <c r="G9" s="15" t="n">
        <v>0</v>
      </c>
      <c r="H9" s="15" t="n">
        <v>0</v>
      </c>
      <c r="I9" s="27">
        <f>IF(F9&gt;0, G9/F9, 0)</f>
        <v/>
      </c>
      <c r="J9" s="15" t="inlineStr">
        <is>
          <t>Scheduled</t>
        </is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5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8" customWidth="1" min="10" max="10"/>
    <col width="42" customWidth="1" min="11" max="11"/>
  </cols>
  <sheetData>
    <row r="1">
      <c r="A1" s="1" t="inlineStr">
        <is>
          <t>DEFECT LOG &amp; BUG TRACKER - WORK TRACKER PRO v3.7</t>
        </is>
      </c>
    </row>
    <row r="2"/>
    <row r="4">
      <c r="A4" s="14" t="inlineStr">
        <is>
          <t>Defect ID</t>
        </is>
      </c>
      <c r="B4" s="14" t="inlineStr">
        <is>
          <t>Ref TC ID</t>
        </is>
      </c>
      <c r="C4" s="14" t="inlineStr">
        <is>
          <t>Modul</t>
        </is>
      </c>
      <c r="D4" s="14" t="inlineStr">
        <is>
          <t>Ringkasan Masalah (Bug Summary)</t>
        </is>
      </c>
      <c r="E4" s="14" t="inlineStr">
        <is>
          <t>Severity</t>
        </is>
      </c>
      <c r="F4" s="14" t="inlineStr">
        <is>
          <t>Priority</t>
        </is>
      </c>
      <c r="G4" s="14" t="inlineStr">
        <is>
          <t>Status</t>
        </is>
      </c>
      <c r="H4" s="14" t="inlineStr">
        <is>
          <t>Dilaporkan Oleh</t>
        </is>
      </c>
      <c r="I4" s="14" t="inlineStr">
        <is>
          <t>Tgl Lapor</t>
        </is>
      </c>
      <c r="J4" s="14" t="inlineStr">
        <is>
          <t>Assigned Dev</t>
        </is>
      </c>
      <c r="K4" s="14" t="inlineStr">
        <is>
          <t>Solusi / Catatan Penyelesaian</t>
        </is>
      </c>
    </row>
    <row r="5">
      <c r="A5" s="25" t="inlineStr">
        <is>
          <t>BUG-001</t>
        </is>
      </c>
      <c r="B5" s="15" t="inlineStr">
        <is>
          <t>TC-KANB-002</t>
        </is>
      </c>
      <c r="C5" s="16" t="inlineStr">
        <is>
          <t>Kanban Board</t>
        </is>
      </c>
      <c r="D5" s="16" t="inlineStr">
        <is>
          <t>Kartu kanban tidak auto-revert saat koneksi internet terputus di tengah drag-drop</t>
        </is>
      </c>
      <c r="E5" s="15" t="inlineStr">
        <is>
          <t>Major</t>
        </is>
      </c>
      <c r="F5" s="15" t="inlineStr">
        <is>
          <t>High</t>
        </is>
      </c>
      <c r="G5" s="15" t="inlineStr">
        <is>
          <t>In Progress</t>
        </is>
      </c>
      <c r="H5" s="16" t="inlineStr">
        <is>
          <t>QA Engineer B</t>
        </is>
      </c>
      <c r="I5" s="15" t="inlineStr">
        <is>
          <t>2026-10-05</t>
        </is>
      </c>
      <c r="J5" s="15" t="inlineStr">
        <is>
          <t>Frontend Lead</t>
        </is>
      </c>
      <c r="K5" s="16" t="inlineStr">
        <is>
          <t>Sedang menambahkan error callback di SortableJS agar trigger DOM rollback</t>
        </is>
      </c>
    </row>
    <row r="6">
      <c r="A6" s="26" t="inlineStr">
        <is>
          <t>BUG-002</t>
        </is>
      </c>
      <c r="B6" s="18" t="inlineStr">
        <is>
          <t>TC-NOTIF-003</t>
        </is>
      </c>
      <c r="C6" s="19" t="inlineStr">
        <is>
          <t>Notifikasi &amp; SMTP</t>
        </is>
      </c>
      <c r="D6" s="19" t="inlineStr">
        <is>
          <t>Tag variabel {{TaskTitle}} pada template email penugasan kadang ter-render kosong jika judul mengandung karakter khusus</t>
        </is>
      </c>
      <c r="E6" s="18" t="inlineStr">
        <is>
          <t>Moderate</t>
        </is>
      </c>
      <c r="F6" s="18" t="inlineStr">
        <is>
          <t>Medium</t>
        </is>
      </c>
      <c r="G6" s="18" t="inlineStr">
        <is>
          <t>Resolved</t>
        </is>
      </c>
      <c r="H6" s="19" t="inlineStr">
        <is>
          <t>QA Engineer D</t>
        </is>
      </c>
      <c r="I6" s="18" t="inlineStr">
        <is>
          <t>2026-10-06</t>
        </is>
      </c>
      <c r="J6" s="18" t="inlineStr">
        <is>
          <t>Backend Dev</t>
        </is>
      </c>
      <c r="K6" s="19" t="inlineStr">
        <is>
          <t>Diperbaiki dengan HtmlEncode sebelum replacement placeholder di EmailService.cs</t>
        </is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2026-10-08T12:38:41Z</dcterms:created>
  <dcterms:modified xmlns:dcterms="http://purl.org/dc/terms/" xmlns:xsi="http://www.w3.org/2001/XMLSchema-instance" xsi:type="dcterms:W3CDTF">2026-10-08T12:38:41Z</dcterms:modified>
</cp:coreProperties>
</file>